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come Tracking" sheetId="1" state="visible" r:id="rId1"/>
    <sheet name="Expense Tracking" sheetId="2" state="visible" r:id="rId2"/>
    <sheet name="Budget Setup" sheetId="3" state="visible" r:id="rId3"/>
    <sheet name="Budget vs Actual" sheetId="4" state="visible" r:id="rId4"/>
    <sheet name="Dashboard" sheetId="5" state="visible" r:id="rId5"/>
    <sheet name="Monthly Trends" sheetId="6" state="visible" r:id="rId6"/>
    <sheet name="Instructions" sheetId="7" state="visible" r:id="rId7"/>
  </sheets>
  <definedNames/>
  <calcPr calcId="191029" fullCalcOnLoad="1"/>
</workbook>
</file>

<file path=xl/styles.xml><?xml version="1.0" encoding="utf-8"?>
<styleSheet xmlns="http://schemas.openxmlformats.org/spreadsheetml/2006/main">
  <numFmts count="1">
    <numFmt numFmtId="164" formatCode="0.0&quot;%&quot;"/>
  </numFmts>
  <fonts count="27">
    <font>
      <name val="Calibri"/>
      <family val="2"/>
      <color theme="1"/>
      <sz val="11"/>
      <scheme val="minor"/>
    </font>
    <font>
      <name val="Calibri"/>
      <b val="1"/>
      <color rgb="FFFFFFFF"/>
      <sz val="24"/>
    </font>
    <font>
      <name val="Calibri"/>
      <b val="1"/>
      <color rgb="FF70AD47"/>
      <sz val="12"/>
    </font>
    <font>
      <name val="Calibri"/>
      <b val="1"/>
      <color rgb="FFFFFFFF"/>
      <sz val="16"/>
    </font>
    <font>
      <name val="Calibri"/>
      <b val="1"/>
      <color rgb="FFFFFFFF"/>
      <sz val="11"/>
    </font>
    <font>
      <name val="Calibri"/>
      <b val="1"/>
      <sz val="11"/>
    </font>
    <font>
      <name val="Calibri"/>
      <b val="1"/>
      <color rgb="FFFFFFFF"/>
      <sz val="14"/>
    </font>
    <font>
      <name val="Calibri"/>
      <b val="1"/>
      <color rgb="FFED7D31"/>
      <sz val="12"/>
    </font>
    <font>
      <name val="Calibri"/>
      <b val="1"/>
      <color rgb="FFC5504B"/>
      <sz val="11"/>
    </font>
    <font>
      <name val="Calibri"/>
      <b val="1"/>
      <sz val="14"/>
    </font>
    <font>
      <name val="Calibri"/>
      <b val="1"/>
      <color rgb="FFFFFFFF"/>
      <sz val="26"/>
    </font>
    <font>
      <name val="Calibri"/>
      <b val="1"/>
      <color rgb="FFFFFFFF"/>
      <sz val="18"/>
    </font>
    <font>
      <name val="Calibri"/>
      <b val="1"/>
      <sz val="12"/>
    </font>
    <font>
      <name val="Calibri"/>
      <b val="1"/>
      <sz val="16"/>
    </font>
    <font>
      <name val="Calibri"/>
      <i val="1"/>
      <color rgb="FF666666"/>
      <sz val="9"/>
    </font>
    <font>
      <name val="Calibri"/>
      <b val="1"/>
      <sz val="11"/>
    </font>
    <font>
      <name val="Calibri"/>
      <b val="1"/>
      <color rgb="FF1F4E78"/>
      <sz val="22"/>
    </font>
    <font>
      <name val="Calibri"/>
      <b val="1"/>
      <color rgb="FF1F4E78"/>
      <sz val="14"/>
    </font>
    <font>
      <name val="Calibri"/>
      <b val="1"/>
      <color rgb="FF1F4E78"/>
      <sz val="12"/>
    </font>
    <font>
      <name val="Calibri"/>
      <sz val="10"/>
    </font>
    <font>
      <b val="1"/>
      <color rgb="00FFFFFF"/>
      <sz val="14"/>
    </font>
    <font>
      <b val="1"/>
      <color rgb="00FFFFFF"/>
    </font>
    <font>
      <b val="1"/>
      <sz val="10"/>
    </font>
    <font>
      <sz val="9"/>
    </font>
    <font>
      <b val="1"/>
      <color rgb="00FFFFFF"/>
      <sz val="10"/>
    </font>
    <font>
      <b val="1"/>
      <color rgb="00FFFFFF"/>
      <sz val="12"/>
    </font>
    <font>
      <i val="1"/>
      <sz val="9"/>
    </font>
  </fonts>
  <fills count="18">
    <fill>
      <patternFill/>
    </fill>
    <fill>
      <patternFill patternType="gray125"/>
    </fill>
    <fill>
      <patternFill patternType="solid">
        <fgColor rgb="FF1F4E78"/>
        <bgColor rgb="FF1F4E78"/>
      </patternFill>
    </fill>
    <fill>
      <patternFill patternType="solid">
        <fgColor rgb="FF70AD47"/>
        <bgColor rgb="FF70AD47"/>
      </patternFill>
    </fill>
    <fill>
      <patternFill patternType="solid">
        <fgColor rgb="FF4472C4"/>
        <bgColor rgb="FF4472C4"/>
      </patternFill>
    </fill>
    <fill>
      <patternFill patternType="solid">
        <fgColor rgb="FFF2F2F2"/>
        <bgColor rgb="FFF2F2F2"/>
      </patternFill>
    </fill>
    <fill>
      <patternFill patternType="solid">
        <fgColor rgb="FF92D050"/>
        <bgColor rgb="FF92D050"/>
      </patternFill>
    </fill>
    <fill>
      <patternFill patternType="solid">
        <fgColor rgb="FFFFC000"/>
        <bgColor rgb="FFFFC000"/>
      </patternFill>
    </fill>
    <fill>
      <patternFill patternType="solid">
        <fgColor rgb="FFE2EFDA"/>
        <bgColor rgb="FFE2EFDA"/>
      </patternFill>
    </fill>
    <fill>
      <patternFill patternType="solid">
        <fgColor rgb="FFED7D31"/>
        <bgColor rgb="FFED7D31"/>
      </patternFill>
    </fill>
    <fill>
      <patternFill patternType="solid">
        <fgColor rgb="FF5B9BD5"/>
        <bgColor rgb="FF5B9BD5"/>
      </patternFill>
    </fill>
    <fill>
      <patternFill patternType="solid">
        <fgColor rgb="FFFCE4D6"/>
        <bgColor rgb="FFFCE4D6"/>
      </patternFill>
    </fill>
    <fill>
      <patternFill patternType="solid">
        <fgColor rgb="FFC5504B"/>
        <bgColor rgb="FFC5504B"/>
      </patternFill>
    </fill>
    <fill>
      <patternFill patternType="solid">
        <fgColor rgb="00ED7D31"/>
        <bgColor rgb="00ED7D31"/>
      </patternFill>
    </fill>
    <fill>
      <patternFill patternType="solid">
        <fgColor rgb="004472C4"/>
        <bgColor rgb="004472C4"/>
      </patternFill>
    </fill>
    <fill>
      <patternFill patternType="solid">
        <fgColor rgb="00F2F2F2"/>
        <bgColor rgb="00F2F2F2"/>
      </patternFill>
    </fill>
    <fill>
      <patternFill patternType="solid">
        <fgColor rgb="005B9BD5"/>
        <bgColor rgb="005B9BD5"/>
      </patternFill>
    </fill>
    <fill>
      <patternFill patternType="solid">
        <fgColor rgb="00FCE4D6"/>
        <bgColor rgb="00FCE4D6"/>
      </patternFill>
    </fill>
  </fills>
  <borders count="4">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right style="thin"/>
      <top style="thin"/>
      <bottom style="thin"/>
    </border>
  </borders>
  <cellStyleXfs count="1">
    <xf numFmtId="0" fontId="0" fillId="0" borderId="0"/>
  </cellStyleXfs>
  <cellXfs count="70">
    <xf numFmtId="0" fontId="0" fillId="0" borderId="0" pivotButton="0" quotePrefix="0" xfId="0"/>
    <xf numFmtId="0" fontId="2" fillId="0" borderId="0" pivotButton="0" quotePrefix="0" xfId="0"/>
    <xf numFmtId="0" fontId="4" fillId="4" borderId="1" applyAlignment="1" pivotButton="0" quotePrefix="0" xfId="0">
      <alignment horizontal="center"/>
    </xf>
    <xf numFmtId="0" fontId="5" fillId="0" borderId="0" pivotButton="0" quotePrefix="0" xfId="0"/>
    <xf numFmtId="0" fontId="0" fillId="5" borderId="1" pivotButton="0" quotePrefix="0" xfId="0"/>
    <xf numFmtId="3" fontId="0" fillId="5" borderId="1" pivotButton="0" quotePrefix="0" xfId="0"/>
    <xf numFmtId="0" fontId="0" fillId="0" borderId="1" pivotButton="0" quotePrefix="0" xfId="0"/>
    <xf numFmtId="3" fontId="0" fillId="0" borderId="1" pivotButton="0" quotePrefix="0" xfId="0"/>
    <xf numFmtId="3" fontId="0" fillId="0" borderId="0" pivotButton="0" quotePrefix="0" xfId="0"/>
    <xf numFmtId="0" fontId="4" fillId="8" borderId="0" pivotButton="0" quotePrefix="0" xfId="0"/>
    <xf numFmtId="164" fontId="0" fillId="0" borderId="0" pivotButton="0" quotePrefix="0" xfId="0"/>
    <xf numFmtId="0" fontId="7" fillId="0" borderId="0" pivotButton="0" quotePrefix="0" xfId="0"/>
    <xf numFmtId="0" fontId="4" fillId="8" borderId="1" applyAlignment="1" pivotButton="0" quotePrefix="0" xfId="0">
      <alignment horizontal="center"/>
    </xf>
    <xf numFmtId="0" fontId="4" fillId="11" borderId="1" applyAlignment="1" pivotButton="0" quotePrefix="0" xfId="0">
      <alignment horizontal="center"/>
    </xf>
    <xf numFmtId="0" fontId="0" fillId="10" borderId="1" pivotButton="0" quotePrefix="0" xfId="0"/>
    <xf numFmtId="0" fontId="8" fillId="0" borderId="1" pivotButton="0" quotePrefix="0" xfId="0"/>
    <xf numFmtId="0" fontId="4" fillId="4" borderId="2" pivotButton="0" quotePrefix="0" xfId="0"/>
    <xf numFmtId="3" fontId="4" fillId="4" borderId="2" pivotButton="0" quotePrefix="0" xfId="0"/>
    <xf numFmtId="0" fontId="5" fillId="3" borderId="1" pivotButton="0" quotePrefix="0" xfId="0"/>
    <xf numFmtId="3" fontId="5" fillId="3" borderId="1" pivotButton="0" quotePrefix="0" xfId="0"/>
    <xf numFmtId="164" fontId="0" fillId="0" borderId="1" pivotButton="0" quotePrefix="0" xfId="0"/>
    <xf numFmtId="0" fontId="5" fillId="9" borderId="2" pivotButton="0" quotePrefix="0" xfId="0"/>
    <xf numFmtId="3" fontId="9" fillId="0" borderId="2" pivotButton="0" quotePrefix="0" xfId="0"/>
    <xf numFmtId="0" fontId="4" fillId="11" borderId="0" pivotButton="0" quotePrefix="0" xfId="0"/>
    <xf numFmtId="0" fontId="4" fillId="4" borderId="1" pivotButton="0" quotePrefix="0" xfId="0"/>
    <xf numFmtId="0" fontId="0" fillId="8" borderId="1" pivotButton="0" quotePrefix="0" xfId="0"/>
    <xf numFmtId="0" fontId="0" fillId="11" borderId="1" pivotButton="0" quotePrefix="0" xfId="0"/>
    <xf numFmtId="0" fontId="6" fillId="4" borderId="0" pivotButton="0" quotePrefix="0" xfId="0"/>
    <xf numFmtId="0" fontId="0" fillId="0" borderId="0" pivotButton="0" quotePrefix="0" xfId="0"/>
    <xf numFmtId="0" fontId="3" fillId="3" borderId="0" pivotButton="0" quotePrefix="0" xfId="0"/>
    <xf numFmtId="3" fontId="0" fillId="0" borderId="0" pivotButton="0" quotePrefix="0" xfId="0"/>
    <xf numFmtId="3" fontId="0" fillId="8" borderId="0" pivotButton="0" quotePrefix="0" xfId="0"/>
    <xf numFmtId="3" fontId="0" fillId="7" borderId="0" pivotButton="0" quotePrefix="0" xfId="0"/>
    <xf numFmtId="3" fontId="0" fillId="6" borderId="0" pivotButton="0" quotePrefix="0" xfId="0"/>
    <xf numFmtId="0" fontId="1" fillId="2" borderId="0" applyAlignment="1" pivotButton="0" quotePrefix="0" xfId="0">
      <alignment horizontal="center" vertical="center"/>
    </xf>
    <xf numFmtId="0" fontId="3" fillId="9" borderId="0" pivotButton="0" quotePrefix="0" xfId="0"/>
    <xf numFmtId="3" fontId="0" fillId="10" borderId="0" pivotButton="0" quotePrefix="0" xfId="0"/>
    <xf numFmtId="0" fontId="6" fillId="10" borderId="0" pivotButton="0" quotePrefix="0" xfId="0"/>
    <xf numFmtId="0" fontId="14" fillId="0" borderId="0" pivotButton="0" quotePrefix="0" xfId="0"/>
    <xf numFmtId="164" fontId="13" fillId="7" borderId="0" applyAlignment="1" pivotButton="0" quotePrefix="0" xfId="0">
      <alignment horizontal="center"/>
    </xf>
    <xf numFmtId="0" fontId="15" fillId="0" borderId="0" pivotButton="0" quotePrefix="0" xfId="0"/>
    <xf numFmtId="0" fontId="11" fillId="4" borderId="0" pivotButton="0" quotePrefix="0" xfId="0"/>
    <xf numFmtId="3" fontId="13" fillId="3" borderId="0" applyAlignment="1" pivotButton="0" quotePrefix="0" xfId="0">
      <alignment horizontal="center"/>
    </xf>
    <xf numFmtId="164" fontId="13" fillId="6" borderId="0" applyAlignment="1" pivotButton="0" quotePrefix="0" xfId="0">
      <alignment horizontal="center"/>
    </xf>
    <xf numFmtId="3" fontId="6" fillId="3" borderId="0" applyAlignment="1" pivotButton="0" quotePrefix="0" xfId="0">
      <alignment horizontal="center"/>
    </xf>
    <xf numFmtId="0" fontId="12" fillId="0" borderId="0" pivotButton="0" quotePrefix="0" xfId="0"/>
    <xf numFmtId="0" fontId="11" fillId="12" borderId="0" pivotButton="0" quotePrefix="0" xfId="0"/>
    <xf numFmtId="0" fontId="10" fillId="2" borderId="0" applyAlignment="1" pivotButton="0" quotePrefix="0" xfId="0">
      <alignment horizontal="center" vertical="center"/>
    </xf>
    <xf numFmtId="3" fontId="13" fillId="9" borderId="0" applyAlignment="1" pivotButton="0" quotePrefix="0" xfId="0">
      <alignment horizontal="center"/>
    </xf>
    <xf numFmtId="0" fontId="6" fillId="9" borderId="0" pivotButton="0" quotePrefix="0" xfId="0"/>
    <xf numFmtId="0" fontId="19" fillId="0" borderId="0" pivotButton="0" quotePrefix="0" xfId="0"/>
    <xf numFmtId="0" fontId="18" fillId="0" borderId="0" pivotButton="0" quotePrefix="0" xfId="0"/>
    <xf numFmtId="0" fontId="17" fillId="0" borderId="0" pivotButton="0" quotePrefix="0" xfId="0"/>
    <xf numFmtId="0" fontId="16" fillId="0" borderId="0" pivotButton="0" quotePrefix="0" xfId="0"/>
    <xf numFmtId="0" fontId="20" fillId="13" borderId="0" applyAlignment="1" pivotButton="0" quotePrefix="0" xfId="0">
      <alignment horizontal="center"/>
    </xf>
    <xf numFmtId="0" fontId="21" fillId="14" borderId="3" pivotButton="0" quotePrefix="0" xfId="0"/>
    <xf numFmtId="0" fontId="22" fillId="0" borderId="3" pivotButton="0" quotePrefix="0" xfId="0"/>
    <xf numFmtId="0" fontId="23" fillId="0" borderId="3" applyAlignment="1" pivotButton="0" quotePrefix="0" xfId="0">
      <alignment vertical="top" wrapText="1"/>
    </xf>
    <xf numFmtId="0" fontId="22" fillId="15" borderId="3" pivotButton="0" quotePrefix="0" xfId="0"/>
    <xf numFmtId="0" fontId="23" fillId="15" borderId="3" applyAlignment="1" pivotButton="0" quotePrefix="0" xfId="0">
      <alignment vertical="top" wrapText="1"/>
    </xf>
    <xf numFmtId="0" fontId="24" fillId="16" borderId="3" pivotButton="0" quotePrefix="0" xfId="0"/>
    <xf numFmtId="0" fontId="25" fillId="13" borderId="0" applyAlignment="1" pivotButton="0" quotePrefix="0" xfId="0">
      <alignment horizontal="center"/>
    </xf>
    <xf numFmtId="0" fontId="22" fillId="0" borderId="0" pivotButton="0" quotePrefix="0" xfId="0"/>
    <xf numFmtId="0" fontId="23" fillId="0" borderId="0" pivotButton="0" quotePrefix="0" xfId="0"/>
    <xf numFmtId="0" fontId="20" fillId="14" borderId="0" applyAlignment="1" pivotButton="0" quotePrefix="0" xfId="0">
      <alignment horizontal="center"/>
    </xf>
    <xf numFmtId="0" fontId="22" fillId="17" borderId="3" pivotButton="0" quotePrefix="0" xfId="0"/>
    <xf numFmtId="0" fontId="0" fillId="0" borderId="3" pivotButton="0" quotePrefix="0" xfId="0"/>
    <xf numFmtId="3" fontId="0" fillId="0" borderId="3" pivotButton="0" quotePrefix="0" xfId="0"/>
    <xf numFmtId="164" fontId="0" fillId="0" borderId="3" pivotButton="0" quotePrefix="0" xfId="0"/>
    <xf numFmtId="0" fontId="26" fillId="0" borderId="0" pivotButton="0" quotePrefix="0" xfId="0"/>
  </cellXfs>
  <cellStyles count="1">
    <cellStyle name="Normal" xfId="0" builtinId="0"/>
  </cellStyles>
  <dxfs count="3">
    <dxf>
      <fill>
        <patternFill patternType="solid">
          <fgColor rgb="FF92D050"/>
          <bgColor rgb="FF92D050"/>
        </patternFill>
      </fill>
    </dxf>
    <dxf>
      <fill>
        <patternFill patternType="solid">
          <fgColor rgb="FFFFC000"/>
          <bgColor rgb="FFFFC000"/>
        </patternFill>
      </fill>
    </dxf>
    <dxf>
      <fill>
        <patternFill patternType="solid">
          <fgColor rgb="FFC5504B"/>
          <bgColor rgb="FFC5504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lstStyle/>
          <a:p>
            <a:pPr>
              <a:defRPr/>
            </a:pPr>
            <a:r>
              <a:rPr lang="en-US"/>
              <a:t>Expense Distribution by Category</a:t>
            </a:r>
          </a:p>
        </rich>
      </tx>
      <overlay val="1"/>
    </title>
    <plotArea>
      <layout/>
      <doughnutChart>
        <varyColors val="1"/>
        <ser>
          <idx val="0"/>
          <order val="0"/>
          <tx>
            <strRef>
              <f>'Budget vs Actual'!$C$13</f>
              <strCache>
                <ptCount val="1"/>
                <pt idx="0">
                  <v>Actual</v>
                </pt>
              </strCache>
            </strRef>
          </tx>
          <spPr>
            <a:ln>
              <a:prstDash val="solid"/>
            </a:ln>
          </spPr>
          <dLbls>
            <spPr>
              <a:noFill/>
              <a:ln>
                <a:noFill/>
                <a:prstDash val="solid"/>
              </a:ln>
            </spPr>
            <showLegendKey val="1"/>
            <showVal val="1"/>
            <showCatName val="1"/>
            <showSerName val="1"/>
            <showPercent val="1"/>
            <showBubbleSize val="1"/>
            <showLeaderLines val="1"/>
          </dLbls>
          <cat>
            <strRef>
              <f>'Budget vs Actual'!$A$14:$A$25</f>
              <strCache>
                <ptCount val="12"/>
                <pt idx="0">
                  <v>Rent &amp; Utilities</v>
                </pt>
                <pt idx="1">
                  <v>Food &amp; Groceries</v>
                </pt>
                <pt idx="2">
                  <v>Transport</v>
                </pt>
                <pt idx="3">
                  <v>SACCO Savings</v>
                </pt>
                <pt idx="4">
                  <v>Emergency Fund</v>
                </pt>
                <pt idx="5">
                  <v>Healthcare</v>
                </pt>
                <pt idx="6">
                  <v>Education</v>
                </pt>
                <pt idx="7">
                  <v>Entertainment</v>
                </pt>
                <pt idx="8">
                  <v>Shopping</v>
                </pt>
                <pt idx="9">
                  <v>Personal Care</v>
                </pt>
                <pt idx="10">
                  <v>Insurance</v>
                </pt>
                <pt idx="11">
                  <v>Miscellaneous</v>
                </pt>
              </strCache>
            </strRef>
          </cat>
          <val>
            <numRef>
              <f>'Budget vs Actual'!$C$14:$C$25</f>
              <numCache>
                <formatCode>#,##0</formatCode>
                <ptCount val="12"/>
                <pt idx="0">
                  <v>0</v>
                </pt>
                <pt idx="1">
                  <v>0</v>
                </pt>
                <pt idx="2">
                  <v>0</v>
                </pt>
                <pt idx="3">
                  <v>0</v>
                </pt>
                <pt idx="4">
                  <v>0</v>
                </pt>
                <pt idx="5">
                  <v>0</v>
                </pt>
                <pt idx="6">
                  <v>0</v>
                </pt>
                <pt idx="7">
                  <v>0</v>
                </pt>
                <pt idx="8">
                  <v>0</v>
                </pt>
                <pt idx="9">
                  <v>0</v>
                </pt>
                <pt idx="10">
                  <v>0</v>
                </pt>
                <pt idx="11">
                  <v>0</v>
                </pt>
              </numCache>
            </numRef>
          </val>
        </ser>
        <dLbls>
          <showLegendKey val="1"/>
          <showVal val="1"/>
          <showCatName val="1"/>
          <showSerName val="1"/>
          <showPercent val="1"/>
          <showBubbleSize val="1"/>
          <showLeaderLines val="1"/>
        </dLbls>
        <firstSliceAng val="0"/>
        <holeSize val="10"/>
      </doughnutChart>
    </plotArea>
    <legend>
      <legendPos val="r"/>
      <overlay val="1"/>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en-US"/>
              <a:t>Budget vs Actual Comparison</a:t>
            </a:r>
          </a:p>
        </rich>
      </tx>
      <overlay val="1"/>
    </title>
    <plotArea>
      <layout/>
      <barChart>
        <barDir val="col"/>
        <grouping val="clustered"/>
        <varyColors val="1"/>
        <ser>
          <idx val="0"/>
          <order val="0"/>
          <tx>
            <strRef>
              <f>'Budget vs Actual'!$B$13</f>
              <strCache>
                <ptCount val="1"/>
                <pt idx="0">
                  <v>Budget</v>
                </pt>
              </strCache>
            </strRef>
          </tx>
          <spPr>
            <a:ln>
              <a:prstDash val="solid"/>
            </a:ln>
          </spPr>
          <invertIfNegative val="1"/>
          <cat>
            <strRef>
              <f>'Budget vs Actual'!$A$14:$A$25</f>
              <strCache>
                <ptCount val="12"/>
                <pt idx="0">
                  <v>Rent &amp; Utilities</v>
                </pt>
                <pt idx="1">
                  <v>Food &amp; Groceries</v>
                </pt>
                <pt idx="2">
                  <v>Transport</v>
                </pt>
                <pt idx="3">
                  <v>SACCO Savings</v>
                </pt>
                <pt idx="4">
                  <v>Emergency Fund</v>
                </pt>
                <pt idx="5">
                  <v>Healthcare</v>
                </pt>
                <pt idx="6">
                  <v>Education</v>
                </pt>
                <pt idx="7">
                  <v>Entertainment</v>
                </pt>
                <pt idx="8">
                  <v>Shopping</v>
                </pt>
                <pt idx="9">
                  <v>Personal Care</v>
                </pt>
                <pt idx="10">
                  <v>Insurance</v>
                </pt>
                <pt idx="11">
                  <v>Miscellaneous</v>
                </pt>
              </strCache>
            </strRef>
          </cat>
          <val>
            <numRef>
              <f>'Budget vs Actual'!$B$14:$B$25</f>
              <numCache>
                <formatCode>#,##0</formatCode>
                <ptCount val="12"/>
                <pt idx="0">
                  <v>9000</v>
                </pt>
                <pt idx="1">
                  <v>9000</v>
                </pt>
                <pt idx="2">
                  <v>9000</v>
                </pt>
                <pt idx="3">
                  <v>10000</v>
                </pt>
                <pt idx="4">
                  <v>3000</v>
                </pt>
                <pt idx="5">
                  <v>2000</v>
                </pt>
                <pt idx="6">
                  <v>2000</v>
                </pt>
                <pt idx="7">
                  <v>2000</v>
                </pt>
                <pt idx="8">
                  <v>1500</v>
                </pt>
                <pt idx="9">
                  <v>1000</v>
                </pt>
                <pt idx="10">
                  <v>1500</v>
                </pt>
                <pt idx="11">
                  <v>1000</v>
                </pt>
              </numCache>
            </numRef>
          </val>
        </ser>
        <ser>
          <idx val="1"/>
          <order val="1"/>
          <tx>
            <strRef>
              <f>'Budget vs Actual'!$C$13</f>
              <strCache>
                <ptCount val="1"/>
                <pt idx="0">
                  <v>Actual</v>
                </pt>
              </strCache>
            </strRef>
          </tx>
          <spPr>
            <a:ln>
              <a:prstDash val="solid"/>
            </a:ln>
          </spPr>
          <invertIfNegative val="1"/>
          <cat>
            <strRef>
              <f>'Budget vs Actual'!$A$14:$A$25</f>
              <strCache>
                <ptCount val="12"/>
                <pt idx="0">
                  <v>Rent &amp; Utilities</v>
                </pt>
                <pt idx="1">
                  <v>Food &amp; Groceries</v>
                </pt>
                <pt idx="2">
                  <v>Transport</v>
                </pt>
                <pt idx="3">
                  <v>SACCO Savings</v>
                </pt>
                <pt idx="4">
                  <v>Emergency Fund</v>
                </pt>
                <pt idx="5">
                  <v>Healthcare</v>
                </pt>
                <pt idx="6">
                  <v>Education</v>
                </pt>
                <pt idx="7">
                  <v>Entertainment</v>
                </pt>
                <pt idx="8">
                  <v>Shopping</v>
                </pt>
                <pt idx="9">
                  <v>Personal Care</v>
                </pt>
                <pt idx="10">
                  <v>Insurance</v>
                </pt>
                <pt idx="11">
                  <v>Miscellaneous</v>
                </pt>
              </strCache>
            </strRef>
          </cat>
          <val>
            <numRef>
              <f>'Budget vs Actual'!$C$14:$C$25</f>
              <numCache>
                <formatCode>#,##0</formatCode>
                <ptCount val="12"/>
                <pt idx="0">
                  <v>0</v>
                </pt>
                <pt idx="1">
                  <v>0</v>
                </pt>
                <pt idx="2">
                  <v>0</v>
                </pt>
                <pt idx="3">
                  <v>0</v>
                </pt>
                <pt idx="4">
                  <v>0</v>
                </pt>
                <pt idx="5">
                  <v>0</v>
                </pt>
                <pt idx="6">
                  <v>0</v>
                </pt>
                <pt idx="7">
                  <v>0</v>
                </pt>
                <pt idx="8">
                  <v>0</v>
                </pt>
                <pt idx="9">
                  <v>0</v>
                </pt>
                <pt idx="10">
                  <v>0</v>
                </pt>
                <pt idx="11">
                  <v>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23</row>
      <rowOff>0</rowOff>
    </from>
    <ext cx="6480000" cy="43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155"/>
  <sheetViews>
    <sheetView workbookViewId="0">
      <selection activeCell="J14" sqref="J14:M26"/>
    </sheetView>
  </sheetViews>
  <sheetFormatPr baseColWidth="8" defaultRowHeight="14.4"/>
  <cols>
    <col width="12" customWidth="1" style="28" min="1" max="1"/>
    <col width="20" customWidth="1" style="28" min="2" max="2"/>
    <col width="15" customWidth="1" style="28" min="3" max="3"/>
    <col width="35" customWidth="1" style="28" min="4" max="4"/>
    <col width="15" customWidth="1" style="28" min="5" max="6"/>
    <col width="12" customWidth="1" style="28" min="7" max="7"/>
    <col width="20" customWidth="1" style="28" min="8" max="8"/>
    <col width="25" customWidth="1" style="28" min="10" max="10"/>
    <col width="15" customWidth="1" style="28" min="11" max="11"/>
  </cols>
  <sheetData>
    <row r="1" ht="45" customHeight="1" s="28">
      <c r="A1" s="34" t="inlineStr">
        <is>
          <t>INCOME TRACKING &amp; MANAGEMENT</t>
        </is>
      </c>
      <c r="J1" t="inlineStr">
        <is>
          <t>Current Period:</t>
        </is>
      </c>
      <c r="K1" s="1" t="inlineStr">
        <is>
          <t>September 2025</t>
        </is>
      </c>
    </row>
    <row r="3" ht="21" customHeight="1" s="28">
      <c r="A3" s="29" t="inlineStr">
        <is>
          <t>INCOME ENTRY</t>
        </is>
      </c>
      <c r="J3" s="29" t="inlineStr">
        <is>
          <t>INCOME SUMMARY</t>
        </is>
      </c>
    </row>
    <row r="5">
      <c r="A5" s="2" t="inlineStr">
        <is>
          <t>Date</t>
        </is>
      </c>
      <c r="B5" s="2" t="inlineStr">
        <is>
          <t>Income Source</t>
        </is>
      </c>
      <c r="C5" s="2" t="inlineStr">
        <is>
          <t>Category</t>
        </is>
      </c>
      <c r="D5" s="2" t="inlineStr">
        <is>
          <t>Description</t>
        </is>
      </c>
      <c r="E5" s="2" t="inlineStr">
        <is>
          <t>Amount (KES)</t>
        </is>
      </c>
      <c r="F5" s="2" t="inlineStr">
        <is>
          <t>Payment Method</t>
        </is>
      </c>
      <c r="G5" s="2" t="inlineStr">
        <is>
          <t>Status</t>
        </is>
      </c>
      <c r="H5" s="2" t="inlineStr">
        <is>
          <t>Notes</t>
        </is>
      </c>
      <c r="J5" s="3" t="inlineStr">
        <is>
          <t>Total Received:</t>
        </is>
      </c>
      <c r="L5" s="33">
        <f>SUMIF(G6:G155,"Received",E6:E155)</f>
        <v/>
      </c>
    </row>
    <row r="6">
      <c r="A6" s="4" t="n"/>
      <c r="B6" s="4" t="n"/>
      <c r="C6" s="4" t="n"/>
      <c r="D6" s="4" t="n"/>
      <c r="E6" s="5" t="n"/>
      <c r="F6" s="4" t="n"/>
      <c r="G6" s="4" t="n"/>
      <c r="H6" s="4" t="n"/>
      <c r="J6" s="3" t="inlineStr">
        <is>
          <t>Pending Income:</t>
        </is>
      </c>
      <c r="L6" s="32">
        <f>SUMIF(G6:G155,"Pending",E6:E155)</f>
        <v/>
      </c>
    </row>
    <row r="7">
      <c r="A7" s="6" t="n"/>
      <c r="B7" s="6" t="n"/>
      <c r="C7" s="6" t="n"/>
      <c r="D7" s="6" t="n"/>
      <c r="E7" s="7" t="n"/>
      <c r="F7" s="6" t="n"/>
      <c r="G7" s="6" t="n"/>
      <c r="H7" s="6" t="n"/>
      <c r="J7" s="3" t="inlineStr">
        <is>
          <t>Expected Income:</t>
        </is>
      </c>
      <c r="L7" s="31">
        <f>SUMIF(G6:G155,"Expected",E6:E155)</f>
        <v/>
      </c>
    </row>
    <row r="8">
      <c r="A8" s="4" t="n"/>
      <c r="B8" s="4" t="n"/>
      <c r="C8" s="4" t="n"/>
      <c r="D8" s="4" t="n"/>
      <c r="E8" s="5" t="n"/>
      <c r="F8" s="4" t="n"/>
      <c r="G8" s="4" t="n"/>
      <c r="H8" s="4" t="n"/>
      <c r="J8" s="3" t="inlineStr">
        <is>
          <t>Regular Salary:</t>
        </is>
      </c>
      <c r="L8" s="30">
        <f>SUMIFS(E6:E155,B6:B155,"Regular Salary",G6:G155,"Received")</f>
        <v/>
      </c>
    </row>
    <row r="9">
      <c r="A9" s="6" t="n"/>
      <c r="B9" s="6" t="n"/>
      <c r="C9" s="6" t="n"/>
      <c r="D9" s="6" t="n"/>
      <c r="E9" s="7" t="n"/>
      <c r="F9" s="6" t="n"/>
      <c r="G9" s="6" t="n"/>
      <c r="H9" s="6" t="n"/>
      <c r="J9" s="3" t="inlineStr">
        <is>
          <t>Side Jobs/Freelance:</t>
        </is>
      </c>
      <c r="L9" s="30" t="n"/>
    </row>
    <row r="10">
      <c r="A10" s="4" t="n"/>
      <c r="B10" s="4" t="n"/>
      <c r="C10" s="4" t="n"/>
      <c r="D10" s="4" t="n"/>
      <c r="E10" s="5" t="n"/>
      <c r="F10" s="4" t="n"/>
      <c r="G10" s="4" t="n"/>
      <c r="H10" s="4" t="n"/>
      <c r="J10" s="3" t="inlineStr">
        <is>
          <t>Other Income:</t>
        </is>
      </c>
      <c r="L10" s="30">
        <f>SUMIF(G6:G155,"Received",E6:E155)-SUMIFS(E6:E155,B6:B155,"Regular Salary",G6:G155,"Received")</f>
        <v/>
      </c>
    </row>
    <row r="11">
      <c r="A11" s="6" t="n"/>
      <c r="B11" s="6" t="n"/>
      <c r="C11" s="6" t="n"/>
      <c r="D11" s="6" t="n"/>
      <c r="E11" s="7" t="n"/>
      <c r="F11" s="6" t="n"/>
      <c r="G11" s="6" t="n"/>
      <c r="H11" s="6" t="n"/>
      <c r="J11" s="3" t="inlineStr">
        <is>
          <t>Income Sources:</t>
        </is>
      </c>
      <c r="L11" s="30">
        <f>COUNTA(E6:E155)</f>
        <v/>
      </c>
    </row>
    <row r="12">
      <c r="A12" s="4" t="n"/>
      <c r="B12" s="4" t="n"/>
      <c r="C12" s="4" t="n"/>
      <c r="D12" s="4" t="n"/>
      <c r="E12" s="5" t="n"/>
      <c r="F12" s="4" t="n"/>
      <c r="G12" s="4" t="n"/>
      <c r="H12" s="4" t="n"/>
      <c r="J12" s="3" t="inlineStr">
        <is>
          <t>Average Income:</t>
        </is>
      </c>
      <c r="L12" s="30">
        <f>IFERROR(AVERAGE(E6:E155),0)</f>
        <v/>
      </c>
    </row>
    <row r="13">
      <c r="A13" s="6" t="n"/>
      <c r="B13" s="6" t="n"/>
      <c r="C13" s="6" t="n"/>
      <c r="D13" s="6" t="n"/>
      <c r="E13" s="7" t="n"/>
      <c r="F13" s="6" t="n"/>
      <c r="G13" s="6" t="n"/>
      <c r="H13" s="6" t="n"/>
    </row>
    <row r="14" ht="18" customHeight="1" s="28">
      <c r="A14" s="4" t="n"/>
      <c r="B14" s="4" t="n"/>
      <c r="C14" s="4" t="n"/>
      <c r="D14" s="4" t="n"/>
      <c r="E14" s="5" t="n"/>
      <c r="F14" s="4" t="n"/>
      <c r="G14" s="4" t="n"/>
      <c r="H14" s="4" t="n"/>
      <c r="J14" s="27" t="inlineStr">
        <is>
          <t>INCOME BY SOURCE ANALYSIS</t>
        </is>
      </c>
    </row>
    <row r="15">
      <c r="A15" s="6" t="n"/>
      <c r="B15" s="6" t="n"/>
      <c r="C15" s="6" t="n"/>
      <c r="D15" s="6" t="n"/>
      <c r="E15" s="7" t="n"/>
      <c r="F15" s="6" t="n"/>
      <c r="G15" s="6" t="n"/>
      <c r="H15" s="6" t="n"/>
    </row>
    <row r="16">
      <c r="A16" s="4" t="n"/>
      <c r="B16" s="4" t="n"/>
      <c r="C16" s="4" t="n"/>
      <c r="D16" s="4" t="n"/>
      <c r="E16" s="5" t="n"/>
      <c r="F16" s="4" t="n"/>
      <c r="G16" s="4" t="n"/>
      <c r="H16" s="4" t="n"/>
      <c r="J16" s="9" t="inlineStr">
        <is>
          <t>Source</t>
        </is>
      </c>
      <c r="K16" s="9" t="inlineStr">
        <is>
          <t>Amount</t>
        </is>
      </c>
      <c r="L16" s="9" t="inlineStr">
        <is>
          <t>% of Total</t>
        </is>
      </c>
    </row>
    <row r="17">
      <c r="A17" s="6" t="n"/>
      <c r="B17" s="6" t="n"/>
      <c r="C17" s="6" t="n"/>
      <c r="D17" s="6" t="n"/>
      <c r="E17" s="7" t="n"/>
      <c r="F17" s="6" t="n"/>
      <c r="G17" s="6" t="n"/>
      <c r="H17" s="6" t="n"/>
      <c r="J17" t="inlineStr">
        <is>
          <t>Regular Salary</t>
        </is>
      </c>
      <c r="K17" s="30">
        <f>SUMIF(B6:B155,J17,E6:E155)</f>
        <v/>
      </c>
      <c r="L17" s="10">
        <f>IFERROR(K17/$L$5*100,0)</f>
        <v/>
      </c>
    </row>
    <row r="18">
      <c r="A18" s="4" t="n"/>
      <c r="B18" s="4" t="n"/>
      <c r="C18" s="4" t="n"/>
      <c r="D18" s="4" t="n"/>
      <c r="E18" s="5" t="n"/>
      <c r="F18" s="4" t="n"/>
      <c r="G18" s="4" t="n"/>
      <c r="H18" s="4" t="n"/>
      <c r="J18" t="inlineStr">
        <is>
          <t>Freelance Work</t>
        </is>
      </c>
      <c r="K18" s="30">
        <f>SUMIF(B6:B155,J18,E6:E155)</f>
        <v/>
      </c>
      <c r="L18" s="10">
        <f>IFERROR(K18/$L$5*100,0)</f>
        <v/>
      </c>
    </row>
    <row r="19">
      <c r="A19" s="6" t="n"/>
      <c r="B19" s="6" t="n"/>
      <c r="C19" s="6" t="n"/>
      <c r="D19" s="6" t="n"/>
      <c r="E19" s="7" t="n"/>
      <c r="F19" s="6" t="n"/>
      <c r="G19" s="6" t="n"/>
      <c r="H19" s="6" t="n"/>
      <c r="J19" t="inlineStr">
        <is>
          <t>Side Job</t>
        </is>
      </c>
      <c r="K19" s="30">
        <f>SUMIF(B6:B155,J19,E6:E155)</f>
        <v/>
      </c>
      <c r="L19" s="10">
        <f>IFERROR(K19/$L$5*100,0)</f>
        <v/>
      </c>
    </row>
    <row r="20">
      <c r="A20" s="4" t="n"/>
      <c r="B20" s="4" t="n"/>
      <c r="C20" s="4" t="n"/>
      <c r="D20" s="4" t="n"/>
      <c r="E20" s="5" t="n"/>
      <c r="F20" s="4" t="n"/>
      <c r="G20" s="4" t="n"/>
      <c r="H20" s="4" t="n"/>
      <c r="J20" t="inlineStr">
        <is>
          <t>Business Income</t>
        </is>
      </c>
      <c r="K20" s="30">
        <f>SUMIF(B6:B155,J20,E6:E155)</f>
        <v/>
      </c>
      <c r="L20" s="10">
        <f>IFERROR(K20/$L$5*100,0)</f>
        <v/>
      </c>
    </row>
    <row r="21">
      <c r="A21" s="6" t="n"/>
      <c r="B21" s="6" t="n"/>
      <c r="C21" s="6" t="n"/>
      <c r="D21" s="6" t="n"/>
      <c r="E21" s="7" t="n"/>
      <c r="F21" s="6" t="n"/>
      <c r="G21" s="6" t="n"/>
      <c r="H21" s="6" t="n"/>
      <c r="J21" t="inlineStr">
        <is>
          <t>Investment Returns</t>
        </is>
      </c>
      <c r="K21" s="30">
        <f>SUMIF(B6:B155,J21,E6:E155)</f>
        <v/>
      </c>
      <c r="L21" s="10">
        <f>IFERROR(K21/$L$5*100,0)</f>
        <v/>
      </c>
    </row>
    <row r="22">
      <c r="A22" s="4" t="n"/>
      <c r="B22" s="4" t="n"/>
      <c r="C22" s="4" t="n"/>
      <c r="D22" s="4" t="n"/>
      <c r="E22" s="5" t="n"/>
      <c r="F22" s="4" t="n"/>
      <c r="G22" s="4" t="n"/>
      <c r="H22" s="4" t="n"/>
      <c r="J22" t="inlineStr">
        <is>
          <t>Rental Income</t>
        </is>
      </c>
      <c r="K22" s="30">
        <f>SUMIF(B6:B155,J22,E6:E155)</f>
        <v/>
      </c>
      <c r="L22" s="10">
        <f>IFERROR(K22/$L$5*100,0)</f>
        <v/>
      </c>
    </row>
    <row r="23">
      <c r="A23" s="6" t="n"/>
      <c r="B23" s="6" t="n"/>
      <c r="C23" s="6" t="n"/>
      <c r="D23" s="6" t="n"/>
      <c r="E23" s="7" t="n"/>
      <c r="F23" s="6" t="n"/>
      <c r="G23" s="6" t="n"/>
      <c r="H23" s="6" t="n"/>
      <c r="J23" t="inlineStr">
        <is>
          <t>Commission</t>
        </is>
      </c>
      <c r="K23" s="30">
        <f>SUMIF(B6:B155,J23,E6:E155)</f>
        <v/>
      </c>
      <c r="L23" s="10">
        <f>IFERROR(K23/$L$5*100,0)</f>
        <v/>
      </c>
    </row>
    <row r="24">
      <c r="A24" s="4" t="n"/>
      <c r="B24" s="4" t="n"/>
      <c r="C24" s="4" t="n"/>
      <c r="D24" s="4" t="n"/>
      <c r="E24" s="5" t="n"/>
      <c r="F24" s="4" t="n"/>
      <c r="G24" s="4" t="n"/>
      <c r="H24" s="4" t="n"/>
      <c r="J24" t="inlineStr">
        <is>
          <t>Bonus</t>
        </is>
      </c>
      <c r="K24" s="30">
        <f>SUMIF(B6:B155,J24,E6:E155)</f>
        <v/>
      </c>
      <c r="L24" s="10">
        <f>IFERROR(K24/$L$5*100,0)</f>
        <v/>
      </c>
    </row>
    <row r="25">
      <c r="A25" s="6" t="n"/>
      <c r="B25" s="6" t="n"/>
      <c r="C25" s="6" t="n"/>
      <c r="D25" s="6" t="n"/>
      <c r="E25" s="7" t="n"/>
      <c r="F25" s="6" t="n"/>
      <c r="G25" s="6" t="n"/>
      <c r="H25" s="6" t="n"/>
      <c r="J25" t="inlineStr">
        <is>
          <t>Gift</t>
        </is>
      </c>
      <c r="K25" s="30">
        <f>SUMIF(B6:B155,J25,E6:E155)</f>
        <v/>
      </c>
      <c r="L25" s="10">
        <f>IFERROR(K25/$L$5*100,0)</f>
        <v/>
      </c>
    </row>
    <row r="26">
      <c r="A26" s="4" t="n"/>
      <c r="B26" s="4" t="n"/>
      <c r="C26" s="4" t="n"/>
      <c r="D26" s="4" t="n"/>
      <c r="E26" s="5" t="n"/>
      <c r="F26" s="4" t="n"/>
      <c r="G26" s="4" t="n"/>
      <c r="H26" s="4" t="n"/>
      <c r="J26" t="inlineStr">
        <is>
          <t>Tax Refund</t>
        </is>
      </c>
      <c r="K26" s="30">
        <f>SUMIF(B6:B155,J26,E6:E155)</f>
        <v/>
      </c>
      <c r="L26" s="10">
        <f>IFERROR(K26/$L$5*100,0)</f>
        <v/>
      </c>
    </row>
    <row r="27">
      <c r="A27" s="6" t="n"/>
      <c r="B27" s="6" t="n"/>
      <c r="C27" s="6" t="n"/>
      <c r="D27" s="6" t="n"/>
      <c r="E27" s="7" t="n"/>
      <c r="F27" s="6" t="n"/>
      <c r="G27" s="6" t="n"/>
      <c r="H27" s="6" t="n"/>
    </row>
    <row r="28">
      <c r="A28" s="4" t="n"/>
      <c r="B28" s="4" t="n"/>
      <c r="C28" s="4" t="n"/>
      <c r="D28" s="4" t="n"/>
      <c r="E28" s="5" t="n"/>
      <c r="F28" s="4" t="n"/>
      <c r="G28" s="4" t="n"/>
      <c r="H28" s="4" t="n"/>
    </row>
    <row r="29">
      <c r="A29" s="6" t="n"/>
      <c r="B29" s="6" t="n"/>
      <c r="C29" s="6" t="n"/>
      <c r="D29" s="6" t="n"/>
      <c r="E29" s="7" t="n"/>
      <c r="F29" s="6" t="n"/>
      <c r="G29" s="6" t="n"/>
      <c r="H29" s="6" t="n"/>
    </row>
    <row r="30">
      <c r="A30" s="4" t="n"/>
      <c r="B30" s="4" t="n"/>
      <c r="C30" s="4" t="n"/>
      <c r="D30" s="4" t="n"/>
      <c r="E30" s="5" t="n"/>
      <c r="F30" s="4" t="n"/>
      <c r="G30" s="4" t="n"/>
      <c r="H30" s="4" t="n"/>
    </row>
    <row r="31">
      <c r="A31" s="6" t="n"/>
      <c r="B31" s="6" t="n"/>
      <c r="C31" s="6" t="n"/>
      <c r="D31" s="6" t="n"/>
      <c r="E31" s="7" t="n"/>
      <c r="F31" s="6" t="n"/>
      <c r="G31" s="6" t="n"/>
      <c r="H31" s="6" t="n"/>
    </row>
    <row r="32">
      <c r="A32" s="4" t="n"/>
      <c r="B32" s="4" t="n"/>
      <c r="C32" s="4" t="n"/>
      <c r="D32" s="4" t="n"/>
      <c r="E32" s="5" t="n"/>
      <c r="F32" s="4" t="n"/>
      <c r="G32" s="4" t="n"/>
      <c r="H32" s="4" t="n"/>
    </row>
    <row r="33">
      <c r="A33" s="6" t="n"/>
      <c r="B33" s="6" t="n"/>
      <c r="C33" s="6" t="n"/>
      <c r="D33" s="6" t="n"/>
      <c r="E33" s="7" t="n"/>
      <c r="F33" s="6" t="n"/>
      <c r="G33" s="6" t="n"/>
      <c r="H33" s="6" t="n"/>
    </row>
    <row r="34">
      <c r="A34" s="4" t="n"/>
      <c r="B34" s="4" t="n"/>
      <c r="C34" s="4" t="n"/>
      <c r="D34" s="4" t="n"/>
      <c r="E34" s="5" t="n"/>
      <c r="F34" s="4" t="n"/>
      <c r="G34" s="4" t="n"/>
      <c r="H34" s="4" t="n"/>
    </row>
    <row r="35">
      <c r="A35" s="6" t="n"/>
      <c r="B35" s="6" t="n"/>
      <c r="C35" s="6" t="n"/>
      <c r="D35" s="6" t="n"/>
      <c r="E35" s="7" t="n"/>
      <c r="F35" s="6" t="n"/>
      <c r="G35" s="6" t="n"/>
      <c r="H35" s="6" t="n"/>
    </row>
    <row r="36">
      <c r="A36" s="4" t="n"/>
      <c r="B36" s="4" t="n"/>
      <c r="C36" s="4" t="n"/>
      <c r="D36" s="4" t="n"/>
      <c r="E36" s="5" t="n"/>
      <c r="F36" s="4" t="n"/>
      <c r="G36" s="4" t="n"/>
      <c r="H36" s="4" t="n"/>
    </row>
    <row r="37">
      <c r="A37" s="6" t="n"/>
      <c r="B37" s="6" t="n"/>
      <c r="C37" s="6" t="n"/>
      <c r="D37" s="6" t="n"/>
      <c r="E37" s="7" t="n"/>
      <c r="F37" s="6" t="n"/>
      <c r="G37" s="6" t="n"/>
      <c r="H37" s="6" t="n"/>
    </row>
    <row r="38">
      <c r="A38" s="4" t="n"/>
      <c r="B38" s="4" t="n"/>
      <c r="C38" s="4" t="n"/>
      <c r="D38" s="4" t="n"/>
      <c r="E38" s="5" t="n"/>
      <c r="F38" s="4" t="n"/>
      <c r="G38" s="4" t="n"/>
      <c r="H38" s="4" t="n"/>
    </row>
    <row r="39">
      <c r="A39" s="6" t="n"/>
      <c r="B39" s="6" t="n"/>
      <c r="C39" s="6" t="n"/>
      <c r="D39" s="6" t="n"/>
      <c r="E39" s="7" t="n"/>
      <c r="F39" s="6" t="n"/>
      <c r="G39" s="6" t="n"/>
      <c r="H39" s="6" t="n"/>
    </row>
    <row r="40">
      <c r="A40" s="4" t="n"/>
      <c r="B40" s="4" t="n"/>
      <c r="C40" s="4" t="n"/>
      <c r="D40" s="4" t="n"/>
      <c r="E40" s="5" t="n"/>
      <c r="F40" s="4" t="n"/>
      <c r="G40" s="4" t="n"/>
      <c r="H40" s="4" t="n"/>
    </row>
    <row r="41">
      <c r="A41" s="6" t="n"/>
      <c r="B41" s="6" t="n"/>
      <c r="C41" s="6" t="n"/>
      <c r="D41" s="6" t="n"/>
      <c r="E41" s="7" t="n"/>
      <c r="F41" s="6" t="n"/>
      <c r="G41" s="6" t="n"/>
      <c r="H41" s="6" t="n"/>
    </row>
    <row r="42">
      <c r="A42" s="4" t="n"/>
      <c r="B42" s="4" t="n"/>
      <c r="C42" s="4" t="n"/>
      <c r="D42" s="4" t="n"/>
      <c r="E42" s="5" t="n"/>
      <c r="F42" s="4" t="n"/>
      <c r="G42" s="4" t="n"/>
      <c r="H42" s="4" t="n"/>
    </row>
    <row r="43">
      <c r="A43" s="6" t="n"/>
      <c r="B43" s="6" t="n"/>
      <c r="C43" s="6" t="n"/>
      <c r="D43" s="6" t="n"/>
      <c r="E43" s="7" t="n"/>
      <c r="F43" s="6" t="n"/>
      <c r="G43" s="6" t="n"/>
      <c r="H43" s="6" t="n"/>
    </row>
    <row r="44">
      <c r="A44" s="4" t="n"/>
      <c r="B44" s="4" t="n"/>
      <c r="C44" s="4" t="n"/>
      <c r="D44" s="4" t="n"/>
      <c r="E44" s="5" t="n"/>
      <c r="F44" s="4" t="n"/>
      <c r="G44" s="4" t="n"/>
      <c r="H44" s="4" t="n"/>
    </row>
    <row r="45">
      <c r="A45" s="6" t="n"/>
      <c r="B45" s="6" t="n"/>
      <c r="C45" s="6" t="n"/>
      <c r="D45" s="6" t="n"/>
      <c r="E45" s="7" t="n"/>
      <c r="F45" s="6" t="n"/>
      <c r="G45" s="6" t="n"/>
      <c r="H45" s="6" t="n"/>
    </row>
    <row r="46">
      <c r="A46" s="4" t="n"/>
      <c r="B46" s="4" t="n"/>
      <c r="C46" s="4" t="n"/>
      <c r="D46" s="4" t="n"/>
      <c r="E46" s="5" t="n"/>
      <c r="F46" s="4" t="n"/>
      <c r="G46" s="4" t="n"/>
      <c r="H46" s="4" t="n"/>
    </row>
    <row r="47">
      <c r="A47" s="6" t="n"/>
      <c r="B47" s="6" t="n"/>
      <c r="C47" s="6" t="n"/>
      <c r="D47" s="6" t="n"/>
      <c r="E47" s="7" t="n"/>
      <c r="F47" s="6" t="n"/>
      <c r="G47" s="6" t="n"/>
      <c r="H47" s="6" t="n"/>
    </row>
    <row r="48">
      <c r="A48" s="4" t="n"/>
      <c r="B48" s="4" t="n"/>
      <c r="C48" s="4" t="n"/>
      <c r="D48" s="4" t="n"/>
      <c r="E48" s="5" t="n"/>
      <c r="F48" s="4" t="n"/>
      <c r="G48" s="4" t="n"/>
      <c r="H48" s="4" t="n"/>
    </row>
    <row r="49">
      <c r="A49" s="6" t="n"/>
      <c r="B49" s="6" t="n"/>
      <c r="C49" s="6" t="n"/>
      <c r="D49" s="6" t="n"/>
      <c r="E49" s="7" t="n"/>
      <c r="F49" s="6" t="n"/>
      <c r="G49" s="6" t="n"/>
      <c r="H49" s="6" t="n"/>
    </row>
    <row r="50">
      <c r="A50" s="4" t="n"/>
      <c r="B50" s="4" t="n"/>
      <c r="C50" s="4" t="n"/>
      <c r="D50" s="4" t="n"/>
      <c r="E50" s="5" t="n"/>
      <c r="F50" s="4" t="n"/>
      <c r="G50" s="4" t="n"/>
      <c r="H50" s="4" t="n"/>
    </row>
    <row r="51">
      <c r="A51" s="6" t="n"/>
      <c r="B51" s="6" t="n"/>
      <c r="C51" s="6" t="n"/>
      <c r="D51" s="6" t="n"/>
      <c r="E51" s="7" t="n"/>
      <c r="F51" s="6" t="n"/>
      <c r="G51" s="6" t="n"/>
      <c r="H51" s="6" t="n"/>
    </row>
    <row r="52">
      <c r="A52" s="4" t="n"/>
      <c r="B52" s="4" t="n"/>
      <c r="C52" s="4" t="n"/>
      <c r="D52" s="4" t="n"/>
      <c r="E52" s="5" t="n"/>
      <c r="F52" s="4" t="n"/>
      <c r="G52" s="4" t="n"/>
      <c r="H52" s="4" t="n"/>
    </row>
    <row r="53">
      <c r="A53" s="6" t="n"/>
      <c r="B53" s="6" t="n"/>
      <c r="C53" s="6" t="n"/>
      <c r="D53" s="6" t="n"/>
      <c r="E53" s="7" t="n"/>
      <c r="F53" s="6" t="n"/>
      <c r="G53" s="6" t="n"/>
      <c r="H53" s="6" t="n"/>
    </row>
    <row r="54">
      <c r="A54" s="4" t="n"/>
      <c r="B54" s="4" t="n"/>
      <c r="C54" s="4" t="n"/>
      <c r="D54" s="4" t="n"/>
      <c r="E54" s="5" t="n"/>
      <c r="F54" s="4" t="n"/>
      <c r="G54" s="4" t="n"/>
      <c r="H54" s="4" t="n"/>
    </row>
    <row r="55">
      <c r="A55" s="6" t="n"/>
      <c r="B55" s="6" t="n"/>
      <c r="C55" s="6" t="n"/>
      <c r="D55" s="6" t="n"/>
      <c r="E55" s="7" t="n"/>
      <c r="F55" s="6" t="n"/>
      <c r="G55" s="6" t="n"/>
      <c r="H55" s="6" t="n"/>
    </row>
    <row r="56">
      <c r="A56" s="4" t="n"/>
      <c r="B56" s="4" t="n"/>
      <c r="C56" s="4" t="n"/>
      <c r="D56" s="4" t="n"/>
      <c r="E56" s="5" t="n"/>
      <c r="F56" s="4" t="n"/>
      <c r="G56" s="4" t="n"/>
      <c r="H56" s="4" t="n"/>
    </row>
    <row r="57">
      <c r="A57" s="6" t="n"/>
      <c r="B57" s="6" t="n"/>
      <c r="C57" s="6" t="n"/>
      <c r="D57" s="6" t="n"/>
      <c r="E57" s="7" t="n"/>
      <c r="F57" s="6" t="n"/>
      <c r="G57" s="6" t="n"/>
      <c r="H57" s="6" t="n"/>
    </row>
    <row r="58">
      <c r="A58" s="4" t="n"/>
      <c r="B58" s="4" t="n"/>
      <c r="C58" s="4" t="n"/>
      <c r="D58" s="4" t="n"/>
      <c r="E58" s="5" t="n"/>
      <c r="F58" s="4" t="n"/>
      <c r="G58" s="4" t="n"/>
      <c r="H58" s="4" t="n"/>
    </row>
    <row r="59">
      <c r="A59" s="6" t="n"/>
      <c r="B59" s="6" t="n"/>
      <c r="C59" s="6" t="n"/>
      <c r="D59" s="6" t="n"/>
      <c r="E59" s="7" t="n"/>
      <c r="F59" s="6" t="n"/>
      <c r="G59" s="6" t="n"/>
      <c r="H59" s="6" t="n"/>
    </row>
    <row r="60">
      <c r="A60" s="4" t="n"/>
      <c r="B60" s="4" t="n"/>
      <c r="C60" s="4" t="n"/>
      <c r="D60" s="4" t="n"/>
      <c r="E60" s="5" t="n"/>
      <c r="F60" s="4" t="n"/>
      <c r="G60" s="4" t="n"/>
      <c r="H60" s="4" t="n"/>
    </row>
    <row r="61">
      <c r="A61" s="6" t="n"/>
      <c r="B61" s="6" t="n"/>
      <c r="C61" s="6" t="n"/>
      <c r="D61" s="6" t="n"/>
      <c r="E61" s="7" t="n"/>
      <c r="F61" s="6" t="n"/>
      <c r="G61" s="6" t="n"/>
      <c r="H61" s="6" t="n"/>
    </row>
    <row r="62">
      <c r="A62" s="4" t="n"/>
      <c r="B62" s="4" t="n"/>
      <c r="C62" s="4" t="n"/>
      <c r="D62" s="4" t="n"/>
      <c r="E62" s="5" t="n"/>
      <c r="F62" s="4" t="n"/>
      <c r="G62" s="4" t="n"/>
      <c r="H62" s="4" t="n"/>
    </row>
    <row r="63">
      <c r="A63" s="6" t="n"/>
      <c r="B63" s="6" t="n"/>
      <c r="C63" s="6" t="n"/>
      <c r="D63" s="6" t="n"/>
      <c r="E63" s="7" t="n"/>
      <c r="F63" s="6" t="n"/>
      <c r="G63" s="6" t="n"/>
      <c r="H63" s="6" t="n"/>
    </row>
    <row r="64">
      <c r="A64" s="4" t="n"/>
      <c r="B64" s="4" t="n"/>
      <c r="C64" s="4" t="n"/>
      <c r="D64" s="4" t="n"/>
      <c r="E64" s="5" t="n"/>
      <c r="F64" s="4" t="n"/>
      <c r="G64" s="4" t="n"/>
      <c r="H64" s="4" t="n"/>
    </row>
    <row r="65">
      <c r="A65" s="6" t="n"/>
      <c r="B65" s="6" t="n"/>
      <c r="C65" s="6" t="n"/>
      <c r="D65" s="6" t="n"/>
      <c r="E65" s="7" t="n"/>
      <c r="F65" s="6" t="n"/>
      <c r="G65" s="6" t="n"/>
      <c r="H65" s="6" t="n"/>
    </row>
    <row r="66">
      <c r="A66" s="4" t="n"/>
      <c r="B66" s="4" t="n"/>
      <c r="C66" s="4" t="n"/>
      <c r="D66" s="4" t="n"/>
      <c r="E66" s="5" t="n"/>
      <c r="F66" s="4" t="n"/>
      <c r="G66" s="4" t="n"/>
      <c r="H66" s="4" t="n"/>
    </row>
    <row r="67">
      <c r="A67" s="6" t="n"/>
      <c r="B67" s="6" t="n"/>
      <c r="C67" s="6" t="n"/>
      <c r="D67" s="6" t="n"/>
      <c r="E67" s="7" t="n"/>
      <c r="F67" s="6" t="n"/>
      <c r="G67" s="6" t="n"/>
      <c r="H67" s="6" t="n"/>
    </row>
    <row r="68">
      <c r="A68" s="4" t="n"/>
      <c r="B68" s="4" t="n"/>
      <c r="C68" s="4" t="n"/>
      <c r="D68" s="4" t="n"/>
      <c r="E68" s="5" t="n"/>
      <c r="F68" s="4" t="n"/>
      <c r="G68" s="4" t="n"/>
      <c r="H68" s="4" t="n"/>
    </row>
    <row r="69">
      <c r="A69" s="6" t="n"/>
      <c r="B69" s="6" t="n"/>
      <c r="C69" s="6" t="n"/>
      <c r="D69" s="6" t="n"/>
      <c r="E69" s="7" t="n"/>
      <c r="F69" s="6" t="n"/>
      <c r="G69" s="6" t="n"/>
      <c r="H69" s="6" t="n"/>
    </row>
    <row r="70">
      <c r="A70" s="4" t="n"/>
      <c r="B70" s="4" t="n"/>
      <c r="C70" s="4" t="n"/>
      <c r="D70" s="4" t="n"/>
      <c r="E70" s="5" t="n"/>
      <c r="F70" s="4" t="n"/>
      <c r="G70" s="4" t="n"/>
      <c r="H70" s="4" t="n"/>
    </row>
    <row r="71">
      <c r="A71" s="6" t="n"/>
      <c r="B71" s="6" t="n"/>
      <c r="C71" s="6" t="n"/>
      <c r="D71" s="6" t="n"/>
      <c r="E71" s="7" t="n"/>
      <c r="F71" s="6" t="n"/>
      <c r="G71" s="6" t="n"/>
      <c r="H71" s="6" t="n"/>
    </row>
    <row r="72">
      <c r="A72" s="4" t="n"/>
      <c r="B72" s="4" t="n"/>
      <c r="C72" s="4" t="n"/>
      <c r="D72" s="4" t="n"/>
      <c r="E72" s="5" t="n"/>
      <c r="F72" s="4" t="n"/>
      <c r="G72" s="4" t="n"/>
      <c r="H72" s="4" t="n"/>
    </row>
    <row r="73">
      <c r="A73" s="6" t="n"/>
      <c r="B73" s="6" t="n"/>
      <c r="C73" s="6" t="n"/>
      <c r="D73" s="6" t="n"/>
      <c r="E73" s="7" t="n"/>
      <c r="F73" s="6" t="n"/>
      <c r="G73" s="6" t="n"/>
      <c r="H73" s="6" t="n"/>
    </row>
    <row r="74">
      <c r="A74" s="4" t="n"/>
      <c r="B74" s="4" t="n"/>
      <c r="C74" s="4" t="n"/>
      <c r="D74" s="4" t="n"/>
      <c r="E74" s="5" t="n"/>
      <c r="F74" s="4" t="n"/>
      <c r="G74" s="4" t="n"/>
      <c r="H74" s="4" t="n"/>
    </row>
    <row r="75">
      <c r="A75" s="6" t="n"/>
      <c r="B75" s="6" t="n"/>
      <c r="C75" s="6" t="n"/>
      <c r="D75" s="6" t="n"/>
      <c r="E75" s="7" t="n"/>
      <c r="F75" s="6" t="n"/>
      <c r="G75" s="6" t="n"/>
      <c r="H75" s="6" t="n"/>
    </row>
    <row r="76">
      <c r="A76" s="4" t="n"/>
      <c r="B76" s="4" t="n"/>
      <c r="C76" s="4" t="n"/>
      <c r="D76" s="4" t="n"/>
      <c r="E76" s="5" t="n"/>
      <c r="F76" s="4" t="n"/>
      <c r="G76" s="4" t="n"/>
      <c r="H76" s="4" t="n"/>
    </row>
    <row r="77">
      <c r="A77" s="6" t="n"/>
      <c r="B77" s="6" t="n"/>
      <c r="C77" s="6" t="n"/>
      <c r="D77" s="6" t="n"/>
      <c r="E77" s="7" t="n"/>
      <c r="F77" s="6" t="n"/>
      <c r="G77" s="6" t="n"/>
      <c r="H77" s="6" t="n"/>
    </row>
    <row r="78">
      <c r="A78" s="4" t="n"/>
      <c r="B78" s="4" t="n"/>
      <c r="C78" s="4" t="n"/>
      <c r="D78" s="4" t="n"/>
      <c r="E78" s="5" t="n"/>
      <c r="F78" s="4" t="n"/>
      <c r="G78" s="4" t="n"/>
      <c r="H78" s="4" t="n"/>
    </row>
    <row r="79">
      <c r="A79" s="6" t="n"/>
      <c r="B79" s="6" t="n"/>
      <c r="C79" s="6" t="n"/>
      <c r="D79" s="6" t="n"/>
      <c r="E79" s="7" t="n"/>
      <c r="F79" s="6" t="n"/>
      <c r="G79" s="6" t="n"/>
      <c r="H79" s="6" t="n"/>
    </row>
    <row r="80">
      <c r="A80" s="4" t="n"/>
      <c r="B80" s="4" t="n"/>
      <c r="C80" s="4" t="n"/>
      <c r="D80" s="4" t="n"/>
      <c r="E80" s="5" t="n"/>
      <c r="F80" s="4" t="n"/>
      <c r="G80" s="4" t="n"/>
      <c r="H80" s="4" t="n"/>
    </row>
    <row r="81">
      <c r="A81" s="6" t="n"/>
      <c r="B81" s="6" t="n"/>
      <c r="C81" s="6" t="n"/>
      <c r="D81" s="6" t="n"/>
      <c r="E81" s="7" t="n"/>
      <c r="F81" s="6" t="n"/>
      <c r="G81" s="6" t="n"/>
      <c r="H81" s="6" t="n"/>
    </row>
    <row r="82">
      <c r="A82" s="4" t="n"/>
      <c r="B82" s="4" t="n"/>
      <c r="C82" s="4" t="n"/>
      <c r="D82" s="4" t="n"/>
      <c r="E82" s="5" t="n"/>
      <c r="F82" s="4" t="n"/>
      <c r="G82" s="4" t="n"/>
      <c r="H82" s="4" t="n"/>
    </row>
    <row r="83">
      <c r="A83" s="6" t="n"/>
      <c r="B83" s="6" t="n"/>
      <c r="C83" s="6" t="n"/>
      <c r="D83" s="6" t="n"/>
      <c r="E83" s="7" t="n"/>
      <c r="F83" s="6" t="n"/>
      <c r="G83" s="6" t="n"/>
      <c r="H83" s="6" t="n"/>
    </row>
    <row r="84">
      <c r="A84" s="4" t="n"/>
      <c r="B84" s="4" t="n"/>
      <c r="C84" s="4" t="n"/>
      <c r="D84" s="4" t="n"/>
      <c r="E84" s="5" t="n"/>
      <c r="F84" s="4" t="n"/>
      <c r="G84" s="4" t="n"/>
      <c r="H84" s="4" t="n"/>
    </row>
    <row r="85">
      <c r="A85" s="6" t="n"/>
      <c r="B85" s="6" t="n"/>
      <c r="C85" s="6" t="n"/>
      <c r="D85" s="6" t="n"/>
      <c r="E85" s="7" t="n"/>
      <c r="F85" s="6" t="n"/>
      <c r="G85" s="6" t="n"/>
      <c r="H85" s="6" t="n"/>
    </row>
    <row r="86">
      <c r="A86" s="4" t="n"/>
      <c r="B86" s="4" t="n"/>
      <c r="C86" s="4" t="n"/>
      <c r="D86" s="4" t="n"/>
      <c r="E86" s="5" t="n"/>
      <c r="F86" s="4" t="n"/>
      <c r="G86" s="4" t="n"/>
      <c r="H86" s="4" t="n"/>
    </row>
    <row r="87">
      <c r="A87" s="6" t="n"/>
      <c r="B87" s="6" t="n"/>
      <c r="C87" s="6" t="n"/>
      <c r="D87" s="6" t="n"/>
      <c r="E87" s="7" t="n"/>
      <c r="F87" s="6" t="n"/>
      <c r="G87" s="6" t="n"/>
      <c r="H87" s="6" t="n"/>
    </row>
    <row r="88">
      <c r="A88" s="4" t="n"/>
      <c r="B88" s="4" t="n"/>
      <c r="C88" s="4" t="n"/>
      <c r="D88" s="4" t="n"/>
      <c r="E88" s="5" t="n"/>
      <c r="F88" s="4" t="n"/>
      <c r="G88" s="4" t="n"/>
      <c r="H88" s="4" t="n"/>
    </row>
    <row r="89">
      <c r="A89" s="6" t="n"/>
      <c r="B89" s="6" t="n"/>
      <c r="C89" s="6" t="n"/>
      <c r="D89" s="6" t="n"/>
      <c r="E89" s="7" t="n"/>
      <c r="F89" s="6" t="n"/>
      <c r="G89" s="6" t="n"/>
      <c r="H89" s="6" t="n"/>
    </row>
    <row r="90">
      <c r="A90" s="4" t="n"/>
      <c r="B90" s="4" t="n"/>
      <c r="C90" s="4" t="n"/>
      <c r="D90" s="4" t="n"/>
      <c r="E90" s="5" t="n"/>
      <c r="F90" s="4" t="n"/>
      <c r="G90" s="4" t="n"/>
      <c r="H90" s="4" t="n"/>
    </row>
    <row r="91">
      <c r="A91" s="6" t="n"/>
      <c r="B91" s="6" t="n"/>
      <c r="C91" s="6" t="n"/>
      <c r="D91" s="6" t="n"/>
      <c r="E91" s="7" t="n"/>
      <c r="F91" s="6" t="n"/>
      <c r="G91" s="6" t="n"/>
      <c r="H91" s="6" t="n"/>
    </row>
    <row r="92">
      <c r="A92" s="4" t="n"/>
      <c r="B92" s="4" t="n"/>
      <c r="C92" s="4" t="n"/>
      <c r="D92" s="4" t="n"/>
      <c r="E92" s="5" t="n"/>
      <c r="F92" s="4" t="n"/>
      <c r="G92" s="4" t="n"/>
      <c r="H92" s="4" t="n"/>
    </row>
    <row r="93">
      <c r="A93" s="6" t="n"/>
      <c r="B93" s="6" t="n"/>
      <c r="C93" s="6" t="n"/>
      <c r="D93" s="6" t="n"/>
      <c r="E93" s="7" t="n"/>
      <c r="F93" s="6" t="n"/>
      <c r="G93" s="6" t="n"/>
      <c r="H93" s="6" t="n"/>
    </row>
    <row r="94">
      <c r="A94" s="4" t="n"/>
      <c r="B94" s="4" t="n"/>
      <c r="C94" s="4" t="n"/>
      <c r="D94" s="4" t="n"/>
      <c r="E94" s="5" t="n"/>
      <c r="F94" s="4" t="n"/>
      <c r="G94" s="4" t="n"/>
      <c r="H94" s="4" t="n"/>
    </row>
    <row r="95">
      <c r="A95" s="6" t="n"/>
      <c r="B95" s="6" t="n"/>
      <c r="C95" s="6" t="n"/>
      <c r="D95" s="6" t="n"/>
      <c r="E95" s="7" t="n"/>
      <c r="F95" s="6" t="n"/>
      <c r="G95" s="6" t="n"/>
      <c r="H95" s="6" t="n"/>
    </row>
    <row r="96">
      <c r="A96" s="4" t="n"/>
      <c r="B96" s="4" t="n"/>
      <c r="C96" s="4" t="n"/>
      <c r="D96" s="4" t="n"/>
      <c r="E96" s="5" t="n"/>
      <c r="F96" s="4" t="n"/>
      <c r="G96" s="4" t="n"/>
      <c r="H96" s="4" t="n"/>
    </row>
    <row r="97">
      <c r="A97" s="6" t="n"/>
      <c r="B97" s="6" t="n"/>
      <c r="C97" s="6" t="n"/>
      <c r="D97" s="6" t="n"/>
      <c r="E97" s="7" t="n"/>
      <c r="F97" s="6" t="n"/>
      <c r="G97" s="6" t="n"/>
      <c r="H97" s="6" t="n"/>
    </row>
    <row r="98">
      <c r="A98" s="4" t="n"/>
      <c r="B98" s="4" t="n"/>
      <c r="C98" s="4" t="n"/>
      <c r="D98" s="4" t="n"/>
      <c r="E98" s="5" t="n"/>
      <c r="F98" s="4" t="n"/>
      <c r="G98" s="4" t="n"/>
      <c r="H98" s="4" t="n"/>
    </row>
    <row r="99">
      <c r="A99" s="6" t="n"/>
      <c r="B99" s="6" t="n"/>
      <c r="C99" s="6" t="n"/>
      <c r="D99" s="6" t="n"/>
      <c r="E99" s="7" t="n"/>
      <c r="F99" s="6" t="n"/>
      <c r="G99" s="6" t="n"/>
      <c r="H99" s="6" t="n"/>
    </row>
    <row r="100">
      <c r="A100" s="4" t="n"/>
      <c r="B100" s="4" t="n"/>
      <c r="C100" s="4" t="n"/>
      <c r="D100" s="4" t="n"/>
      <c r="E100" s="5" t="n"/>
      <c r="F100" s="4" t="n"/>
      <c r="G100" s="4" t="n"/>
      <c r="H100" s="4" t="n"/>
    </row>
    <row r="101">
      <c r="A101" s="6" t="n"/>
      <c r="B101" s="6" t="n"/>
      <c r="C101" s="6" t="n"/>
      <c r="D101" s="6" t="n"/>
      <c r="E101" s="7" t="n"/>
      <c r="F101" s="6" t="n"/>
      <c r="G101" s="6" t="n"/>
      <c r="H101" s="6" t="n"/>
    </row>
    <row r="102">
      <c r="A102" s="4" t="n"/>
      <c r="B102" s="4" t="n"/>
      <c r="C102" s="4" t="n"/>
      <c r="D102" s="4" t="n"/>
      <c r="E102" s="5" t="n"/>
      <c r="F102" s="4" t="n"/>
      <c r="G102" s="4" t="n"/>
      <c r="H102" s="4" t="n"/>
    </row>
    <row r="103">
      <c r="A103" s="6" t="n"/>
      <c r="B103" s="6" t="n"/>
      <c r="C103" s="6" t="n"/>
      <c r="D103" s="6" t="n"/>
      <c r="E103" s="7" t="n"/>
      <c r="F103" s="6" t="n"/>
      <c r="G103" s="6" t="n"/>
      <c r="H103" s="6" t="n"/>
    </row>
    <row r="104">
      <c r="A104" s="4" t="n"/>
      <c r="B104" s="4" t="n"/>
      <c r="C104" s="4" t="n"/>
      <c r="D104" s="4" t="n"/>
      <c r="E104" s="5" t="n"/>
      <c r="F104" s="4" t="n"/>
      <c r="G104" s="4" t="n"/>
      <c r="H104" s="4" t="n"/>
    </row>
    <row r="105">
      <c r="A105" s="6" t="n"/>
      <c r="B105" s="6" t="n"/>
      <c r="C105" s="6" t="n"/>
      <c r="D105" s="6" t="n"/>
      <c r="E105" s="7" t="n"/>
      <c r="F105" s="6" t="n"/>
      <c r="G105" s="6" t="n"/>
      <c r="H105" s="6" t="n"/>
    </row>
    <row r="106">
      <c r="A106" s="4" t="n"/>
      <c r="B106" s="4" t="n"/>
      <c r="C106" s="4" t="n"/>
      <c r="D106" s="4" t="n"/>
      <c r="E106" s="5" t="n"/>
      <c r="F106" s="4" t="n"/>
      <c r="G106" s="4" t="n"/>
      <c r="H106" s="4" t="n"/>
    </row>
    <row r="107">
      <c r="A107" s="6" t="n"/>
      <c r="B107" s="6" t="n"/>
      <c r="C107" s="6" t="n"/>
      <c r="D107" s="6" t="n"/>
      <c r="E107" s="7" t="n"/>
      <c r="F107" s="6" t="n"/>
      <c r="G107" s="6" t="n"/>
      <c r="H107" s="6" t="n"/>
    </row>
    <row r="108">
      <c r="A108" s="4" t="n"/>
      <c r="B108" s="4" t="n"/>
      <c r="C108" s="4" t="n"/>
      <c r="D108" s="4" t="n"/>
      <c r="E108" s="5" t="n"/>
      <c r="F108" s="4" t="n"/>
      <c r="G108" s="4" t="n"/>
      <c r="H108" s="4" t="n"/>
    </row>
    <row r="109">
      <c r="A109" s="6" t="n"/>
      <c r="B109" s="6" t="n"/>
      <c r="C109" s="6" t="n"/>
      <c r="D109" s="6" t="n"/>
      <c r="E109" s="7" t="n"/>
      <c r="F109" s="6" t="n"/>
      <c r="G109" s="6" t="n"/>
      <c r="H109" s="6" t="n"/>
    </row>
    <row r="110">
      <c r="A110" s="4" t="n"/>
      <c r="B110" s="4" t="n"/>
      <c r="C110" s="4" t="n"/>
      <c r="D110" s="4" t="n"/>
      <c r="E110" s="5" t="n"/>
      <c r="F110" s="4" t="n"/>
      <c r="G110" s="4" t="n"/>
      <c r="H110" s="4" t="n"/>
    </row>
    <row r="111">
      <c r="A111" s="6" t="n"/>
      <c r="B111" s="6" t="n"/>
      <c r="C111" s="6" t="n"/>
      <c r="D111" s="6" t="n"/>
      <c r="E111" s="7" t="n"/>
      <c r="F111" s="6" t="n"/>
      <c r="G111" s="6" t="n"/>
      <c r="H111" s="6" t="n"/>
    </row>
    <row r="112">
      <c r="A112" s="4" t="n"/>
      <c r="B112" s="4" t="n"/>
      <c r="C112" s="4" t="n"/>
      <c r="D112" s="4" t="n"/>
      <c r="E112" s="5" t="n"/>
      <c r="F112" s="4" t="n"/>
      <c r="G112" s="4" t="n"/>
      <c r="H112" s="4" t="n"/>
    </row>
    <row r="113">
      <c r="A113" s="6" t="n"/>
      <c r="B113" s="6" t="n"/>
      <c r="C113" s="6" t="n"/>
      <c r="D113" s="6" t="n"/>
      <c r="E113" s="7" t="n"/>
      <c r="F113" s="6" t="n"/>
      <c r="G113" s="6" t="n"/>
      <c r="H113" s="6" t="n"/>
    </row>
    <row r="114">
      <c r="A114" s="4" t="n"/>
      <c r="B114" s="4" t="n"/>
      <c r="C114" s="4" t="n"/>
      <c r="D114" s="4" t="n"/>
      <c r="E114" s="5" t="n"/>
      <c r="F114" s="4" t="n"/>
      <c r="G114" s="4" t="n"/>
      <c r="H114" s="4" t="n"/>
    </row>
    <row r="115">
      <c r="A115" s="6" t="n"/>
      <c r="B115" s="6" t="n"/>
      <c r="C115" s="6" t="n"/>
      <c r="D115" s="6" t="n"/>
      <c r="E115" s="7" t="n"/>
      <c r="F115" s="6" t="n"/>
      <c r="G115" s="6" t="n"/>
      <c r="H115" s="6" t="n"/>
    </row>
    <row r="116">
      <c r="A116" s="4" t="n"/>
      <c r="B116" s="4" t="n"/>
      <c r="C116" s="4" t="n"/>
      <c r="D116" s="4" t="n"/>
      <c r="E116" s="5" t="n"/>
      <c r="F116" s="4" t="n"/>
      <c r="G116" s="4" t="n"/>
      <c r="H116" s="4" t="n"/>
    </row>
    <row r="117">
      <c r="A117" s="6" t="n"/>
      <c r="B117" s="6" t="n"/>
      <c r="C117" s="6" t="n"/>
      <c r="D117" s="6" t="n"/>
      <c r="E117" s="7" t="n"/>
      <c r="F117" s="6" t="n"/>
      <c r="G117" s="6" t="n"/>
      <c r="H117" s="6" t="n"/>
    </row>
    <row r="118">
      <c r="A118" s="4" t="n"/>
      <c r="B118" s="4" t="n"/>
      <c r="C118" s="4" t="n"/>
      <c r="D118" s="4" t="n"/>
      <c r="E118" s="5" t="n"/>
      <c r="F118" s="4" t="n"/>
      <c r="G118" s="4" t="n"/>
      <c r="H118" s="4" t="n"/>
    </row>
    <row r="119">
      <c r="A119" s="6" t="n"/>
      <c r="B119" s="6" t="n"/>
      <c r="C119" s="6" t="n"/>
      <c r="D119" s="6" t="n"/>
      <c r="E119" s="7" t="n"/>
      <c r="F119" s="6" t="n"/>
      <c r="G119" s="6" t="n"/>
      <c r="H119" s="6" t="n"/>
    </row>
    <row r="120">
      <c r="A120" s="4" t="n"/>
      <c r="B120" s="4" t="n"/>
      <c r="C120" s="4" t="n"/>
      <c r="D120" s="4" t="n"/>
      <c r="E120" s="5" t="n"/>
      <c r="F120" s="4" t="n"/>
      <c r="G120" s="4" t="n"/>
      <c r="H120" s="4" t="n"/>
    </row>
    <row r="121">
      <c r="A121" s="6" t="n"/>
      <c r="B121" s="6" t="n"/>
      <c r="C121" s="6" t="n"/>
      <c r="D121" s="6" t="n"/>
      <c r="E121" s="7" t="n"/>
      <c r="F121" s="6" t="n"/>
      <c r="G121" s="6" t="n"/>
      <c r="H121" s="6" t="n"/>
    </row>
    <row r="122">
      <c r="A122" s="4" t="n"/>
      <c r="B122" s="4" t="n"/>
      <c r="C122" s="4" t="n"/>
      <c r="D122" s="4" t="n"/>
      <c r="E122" s="5" t="n"/>
      <c r="F122" s="4" t="n"/>
      <c r="G122" s="4" t="n"/>
      <c r="H122" s="4" t="n"/>
    </row>
    <row r="123">
      <c r="A123" s="6" t="n"/>
      <c r="B123" s="6" t="n"/>
      <c r="C123" s="6" t="n"/>
      <c r="D123" s="6" t="n"/>
      <c r="E123" s="7" t="n"/>
      <c r="F123" s="6" t="n"/>
      <c r="G123" s="6" t="n"/>
      <c r="H123" s="6" t="n"/>
    </row>
    <row r="124">
      <c r="A124" s="4" t="n"/>
      <c r="B124" s="4" t="n"/>
      <c r="C124" s="4" t="n"/>
      <c r="D124" s="4" t="n"/>
      <c r="E124" s="5" t="n"/>
      <c r="F124" s="4" t="n"/>
      <c r="G124" s="4" t="n"/>
      <c r="H124" s="4" t="n"/>
    </row>
    <row r="125">
      <c r="A125" s="6" t="n"/>
      <c r="B125" s="6" t="n"/>
      <c r="C125" s="6" t="n"/>
      <c r="D125" s="6" t="n"/>
      <c r="E125" s="7" t="n"/>
      <c r="F125" s="6" t="n"/>
      <c r="G125" s="6" t="n"/>
      <c r="H125" s="6" t="n"/>
    </row>
    <row r="126">
      <c r="A126" s="4" t="n"/>
      <c r="B126" s="4" t="n"/>
      <c r="C126" s="4" t="n"/>
      <c r="D126" s="4" t="n"/>
      <c r="E126" s="5" t="n"/>
      <c r="F126" s="4" t="n"/>
      <c r="G126" s="4" t="n"/>
      <c r="H126" s="4" t="n"/>
    </row>
    <row r="127">
      <c r="A127" s="6" t="n"/>
      <c r="B127" s="6" t="n"/>
      <c r="C127" s="6" t="n"/>
      <c r="D127" s="6" t="n"/>
      <c r="E127" s="7" t="n"/>
      <c r="F127" s="6" t="n"/>
      <c r="G127" s="6" t="n"/>
      <c r="H127" s="6" t="n"/>
    </row>
    <row r="128">
      <c r="A128" s="4" t="n"/>
      <c r="B128" s="4" t="n"/>
      <c r="C128" s="4" t="n"/>
      <c r="D128" s="4" t="n"/>
      <c r="E128" s="5" t="n"/>
      <c r="F128" s="4" t="n"/>
      <c r="G128" s="4" t="n"/>
      <c r="H128" s="4" t="n"/>
    </row>
    <row r="129">
      <c r="A129" s="6" t="n"/>
      <c r="B129" s="6" t="n"/>
      <c r="C129" s="6" t="n"/>
      <c r="D129" s="6" t="n"/>
      <c r="E129" s="7" t="n"/>
      <c r="F129" s="6" t="n"/>
      <c r="G129" s="6" t="n"/>
      <c r="H129" s="6" t="n"/>
    </row>
    <row r="130">
      <c r="A130" s="4" t="n"/>
      <c r="B130" s="4" t="n"/>
      <c r="C130" s="4" t="n"/>
      <c r="D130" s="4" t="n"/>
      <c r="E130" s="5" t="n"/>
      <c r="F130" s="4" t="n"/>
      <c r="G130" s="4" t="n"/>
      <c r="H130" s="4" t="n"/>
    </row>
    <row r="131">
      <c r="A131" s="6" t="n"/>
      <c r="B131" s="6" t="n"/>
      <c r="C131" s="6" t="n"/>
      <c r="D131" s="6" t="n"/>
      <c r="E131" s="7" t="n"/>
      <c r="F131" s="6" t="n"/>
      <c r="G131" s="6" t="n"/>
      <c r="H131" s="6" t="n"/>
    </row>
    <row r="132">
      <c r="A132" s="4" t="n"/>
      <c r="B132" s="4" t="n"/>
      <c r="C132" s="4" t="n"/>
      <c r="D132" s="4" t="n"/>
      <c r="E132" s="5" t="n"/>
      <c r="F132" s="4" t="n"/>
      <c r="G132" s="4" t="n"/>
      <c r="H132" s="4" t="n"/>
    </row>
    <row r="133">
      <c r="A133" s="6" t="n"/>
      <c r="B133" s="6" t="n"/>
      <c r="C133" s="6" t="n"/>
      <c r="D133" s="6" t="n"/>
      <c r="E133" s="7" t="n"/>
      <c r="F133" s="6" t="n"/>
      <c r="G133" s="6" t="n"/>
      <c r="H133" s="6" t="n"/>
    </row>
    <row r="134">
      <c r="A134" s="4" t="n"/>
      <c r="B134" s="4" t="n"/>
      <c r="C134" s="4" t="n"/>
      <c r="D134" s="4" t="n"/>
      <c r="E134" s="5" t="n"/>
      <c r="F134" s="4" t="n"/>
      <c r="G134" s="4" t="n"/>
      <c r="H134" s="4" t="n"/>
    </row>
    <row r="135">
      <c r="A135" s="6" t="n"/>
      <c r="B135" s="6" t="n"/>
      <c r="C135" s="6" t="n"/>
      <c r="D135" s="6" t="n"/>
      <c r="E135" s="7" t="n"/>
      <c r="F135" s="6" t="n"/>
      <c r="G135" s="6" t="n"/>
      <c r="H135" s="6" t="n"/>
    </row>
    <row r="136">
      <c r="A136" s="4" t="n"/>
      <c r="B136" s="4" t="n"/>
      <c r="C136" s="4" t="n"/>
      <c r="D136" s="4" t="n"/>
      <c r="E136" s="5" t="n"/>
      <c r="F136" s="4" t="n"/>
      <c r="G136" s="4" t="n"/>
      <c r="H136" s="4" t="n"/>
    </row>
    <row r="137">
      <c r="A137" s="6" t="n"/>
      <c r="B137" s="6" t="n"/>
      <c r="C137" s="6" t="n"/>
      <c r="D137" s="6" t="n"/>
      <c r="E137" s="7" t="n"/>
      <c r="F137" s="6" t="n"/>
      <c r="G137" s="6" t="n"/>
      <c r="H137" s="6" t="n"/>
    </row>
    <row r="138">
      <c r="A138" s="4" t="n"/>
      <c r="B138" s="4" t="n"/>
      <c r="C138" s="4" t="n"/>
      <c r="D138" s="4" t="n"/>
      <c r="E138" s="5" t="n"/>
      <c r="F138" s="4" t="n"/>
      <c r="G138" s="4" t="n"/>
      <c r="H138" s="4" t="n"/>
    </row>
    <row r="139">
      <c r="A139" s="6" t="n"/>
      <c r="B139" s="6" t="n"/>
      <c r="C139" s="6" t="n"/>
      <c r="D139" s="6" t="n"/>
      <c r="E139" s="7" t="n"/>
      <c r="F139" s="6" t="n"/>
      <c r="G139" s="6" t="n"/>
      <c r="H139" s="6" t="n"/>
    </row>
    <row r="140">
      <c r="A140" s="4" t="n"/>
      <c r="B140" s="4" t="n"/>
      <c r="C140" s="4" t="n"/>
      <c r="D140" s="4" t="n"/>
      <c r="E140" s="5" t="n"/>
      <c r="F140" s="4" t="n"/>
      <c r="G140" s="4" t="n"/>
      <c r="H140" s="4" t="n"/>
    </row>
    <row r="141">
      <c r="A141" s="6" t="n"/>
      <c r="B141" s="6" t="n"/>
      <c r="C141" s="6" t="n"/>
      <c r="D141" s="6" t="n"/>
      <c r="E141" s="7" t="n"/>
      <c r="F141" s="6" t="n"/>
      <c r="G141" s="6" t="n"/>
      <c r="H141" s="6" t="n"/>
    </row>
    <row r="142">
      <c r="A142" s="4" t="n"/>
      <c r="B142" s="4" t="n"/>
      <c r="C142" s="4" t="n"/>
      <c r="D142" s="4" t="n"/>
      <c r="E142" s="5" t="n"/>
      <c r="F142" s="4" t="n"/>
      <c r="G142" s="4" t="n"/>
      <c r="H142" s="4" t="n"/>
    </row>
    <row r="143">
      <c r="A143" s="6" t="n"/>
      <c r="B143" s="6" t="n"/>
      <c r="C143" s="6" t="n"/>
      <c r="D143" s="6" t="n"/>
      <c r="E143" s="7" t="n"/>
      <c r="F143" s="6" t="n"/>
      <c r="G143" s="6" t="n"/>
      <c r="H143" s="6" t="n"/>
    </row>
    <row r="144">
      <c r="A144" s="4" t="n"/>
      <c r="B144" s="4" t="n"/>
      <c r="C144" s="4" t="n"/>
      <c r="D144" s="4" t="n"/>
      <c r="E144" s="5" t="n"/>
      <c r="F144" s="4" t="n"/>
      <c r="G144" s="4" t="n"/>
      <c r="H144" s="4" t="n"/>
    </row>
    <row r="145">
      <c r="A145" s="6" t="n"/>
      <c r="B145" s="6" t="n"/>
      <c r="C145" s="6" t="n"/>
      <c r="D145" s="6" t="n"/>
      <c r="E145" s="7" t="n"/>
      <c r="F145" s="6" t="n"/>
      <c r="G145" s="6" t="n"/>
      <c r="H145" s="6" t="n"/>
    </row>
    <row r="146">
      <c r="A146" s="4" t="n"/>
      <c r="B146" s="4" t="n"/>
      <c r="C146" s="4" t="n"/>
      <c r="D146" s="4" t="n"/>
      <c r="E146" s="5" t="n"/>
      <c r="F146" s="4" t="n"/>
      <c r="G146" s="4" t="n"/>
      <c r="H146" s="4" t="n"/>
    </row>
    <row r="147">
      <c r="A147" s="6" t="n"/>
      <c r="B147" s="6" t="n"/>
      <c r="C147" s="6" t="n"/>
      <c r="D147" s="6" t="n"/>
      <c r="E147" s="7" t="n"/>
      <c r="F147" s="6" t="n"/>
      <c r="G147" s="6" t="n"/>
      <c r="H147" s="6" t="n"/>
    </row>
    <row r="148">
      <c r="A148" s="4" t="n"/>
      <c r="B148" s="4" t="n"/>
      <c r="C148" s="4" t="n"/>
      <c r="D148" s="4" t="n"/>
      <c r="E148" s="5" t="n"/>
      <c r="F148" s="4" t="n"/>
      <c r="G148" s="4" t="n"/>
      <c r="H148" s="4" t="n"/>
    </row>
    <row r="149">
      <c r="A149" s="6" t="n"/>
      <c r="B149" s="6" t="n"/>
      <c r="C149" s="6" t="n"/>
      <c r="D149" s="6" t="n"/>
      <c r="E149" s="7" t="n"/>
      <c r="F149" s="6" t="n"/>
      <c r="G149" s="6" t="n"/>
      <c r="H149" s="6" t="n"/>
    </row>
    <row r="150">
      <c r="A150" s="4" t="n"/>
      <c r="B150" s="4" t="n"/>
      <c r="C150" s="4" t="n"/>
      <c r="D150" s="4" t="n"/>
      <c r="E150" s="5" t="n"/>
      <c r="F150" s="4" t="n"/>
      <c r="G150" s="4" t="n"/>
      <c r="H150" s="4" t="n"/>
    </row>
    <row r="151">
      <c r="A151" s="6" t="n"/>
      <c r="B151" s="6" t="n"/>
      <c r="C151" s="6" t="n"/>
      <c r="D151" s="6" t="n"/>
      <c r="E151" s="7" t="n"/>
      <c r="F151" s="6" t="n"/>
      <c r="G151" s="6" t="n"/>
      <c r="H151" s="6" t="n"/>
    </row>
    <row r="152">
      <c r="A152" s="4" t="n"/>
      <c r="B152" s="4" t="n"/>
      <c r="C152" s="4" t="n"/>
      <c r="D152" s="4" t="n"/>
      <c r="E152" s="5" t="n"/>
      <c r="F152" s="4" t="n"/>
      <c r="G152" s="4" t="n"/>
      <c r="H152" s="4" t="n"/>
    </row>
    <row r="153">
      <c r="A153" s="6" t="n"/>
      <c r="B153" s="6" t="n"/>
      <c r="C153" s="6" t="n"/>
      <c r="D153" s="6" t="n"/>
      <c r="E153" s="7" t="n"/>
      <c r="F153" s="6" t="n"/>
      <c r="G153" s="6" t="n"/>
      <c r="H153" s="6" t="n"/>
    </row>
    <row r="154">
      <c r="A154" s="4" t="n"/>
      <c r="B154" s="4" t="n"/>
      <c r="C154" s="4" t="n"/>
      <c r="D154" s="4" t="n"/>
      <c r="E154" s="5" t="n"/>
      <c r="F154" s="4" t="n"/>
      <c r="G154" s="4" t="n"/>
      <c r="H154" s="4" t="n"/>
    </row>
    <row r="155">
      <c r="A155" s="6" t="n"/>
      <c r="B155" s="6" t="n"/>
      <c r="C155" s="6" t="n"/>
      <c r="D155" s="6" t="n"/>
      <c r="E155" s="7" t="n"/>
      <c r="F155" s="6" t="n"/>
      <c r="G155" s="6" t="n"/>
      <c r="H155" s="6" t="n"/>
    </row>
  </sheetData>
  <mergeCells count="12">
    <mergeCell ref="J14:M14"/>
    <mergeCell ref="A3:H3"/>
    <mergeCell ref="L12:M12"/>
    <mergeCell ref="L7:M7"/>
    <mergeCell ref="L6:M6"/>
    <mergeCell ref="J3:M3"/>
    <mergeCell ref="L10:M10"/>
    <mergeCell ref="L11:M11"/>
    <mergeCell ref="L5:M5"/>
    <mergeCell ref="A1:H1"/>
    <mergeCell ref="L8:M8"/>
    <mergeCell ref="L9:M9"/>
  </mergeCells>
  <dataValidations count="4">
    <dataValidation sqref="B6:B155 J17:J26" showDropDown="1" showInputMessage="0" showErrorMessage="0" allowBlank="0" type="list">
      <formula1>"Regular Salary,Freelance Work,Side Job,Business Income,Investment Returns,Rental Income,Commission,Bonus,Gift,Tax Refund,Reimbursement,Other Income"</formula1>
    </dataValidation>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showDropDown="1" showInputMessage="0" showErrorMessage="0" allowBlank="0" type="list">
      <formula1>"Monthly,One-time,Project-based,Recurring,Variable"</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showDropDown="1" showInputMessage="0" showErrorMessage="0" allowBlank="0" type="list">
      <formula1>"Cash,M-Pesa,Bank Transfer,Cheque,Direct Deposit,Online Payment"</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showDropDown="1" showInputMessage="0" showErrorMessage="0" allowBlank="0" type="list">
      <formula1>"Received,Pending,Expected,Delayed"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5"/>
  <sheetViews>
    <sheetView tabSelected="1" workbookViewId="0">
      <selection activeCell="K19" sqref="K19"/>
    </sheetView>
  </sheetViews>
  <sheetFormatPr baseColWidth="8" defaultRowHeight="14.4"/>
  <cols>
    <col width="12" customWidth="1" style="28" min="1" max="1"/>
    <col width="20" customWidth="1" style="28" min="2" max="2"/>
    <col width="15" customWidth="1" style="28" min="3" max="3"/>
    <col width="35" customWidth="1" style="28" min="4" max="4"/>
    <col width="15" customWidth="1" style="28" min="5" max="6"/>
    <col width="12" customWidth="1" style="28" min="7" max="7"/>
    <col width="20" customWidth="1" style="28" min="8" max="8"/>
    <col width="25" customWidth="1" style="28" min="10" max="10"/>
    <col width="15" customWidth="1" style="28" min="11" max="11"/>
    <col width="20" customWidth="1" style="28" min="15" max="15"/>
    <col width="25" customWidth="1" style="28" min="16" max="16"/>
    <col width="20" customWidth="1" style="28" min="17" max="17"/>
    <col width="15" customWidth="1" style="28" min="18" max="18"/>
  </cols>
  <sheetData>
    <row r="1" ht="45" customHeight="1" s="28">
      <c r="A1" s="34" t="inlineStr">
        <is>
          <t>EXPENSE TRACKING &amp; MANAGEMENT</t>
        </is>
      </c>
      <c r="J1" t="inlineStr">
        <is>
          <t>Current Period:</t>
        </is>
      </c>
      <c r="K1" s="11" t="inlineStr">
        <is>
          <t>September 2025</t>
        </is>
      </c>
    </row>
    <row r="3" ht="21" customHeight="1" s="28">
      <c r="A3" s="35" t="inlineStr">
        <is>
          <t>EXPENSE ENTRY</t>
        </is>
      </c>
      <c r="J3" s="35" t="inlineStr">
        <is>
          <t>EXPENSE SUMMARY</t>
        </is>
      </c>
      <c r="O3" s="54" t="inlineStr">
        <is>
          <t>EXPENSE CATEGORY GUIDE</t>
        </is>
      </c>
    </row>
    <row r="5">
      <c r="A5" s="2" t="inlineStr">
        <is>
          <t>Date</t>
        </is>
      </c>
      <c r="B5" s="2" t="inlineStr">
        <is>
          <t>Category</t>
        </is>
      </c>
      <c r="C5" s="2" t="inlineStr">
        <is>
          <t>Subcategory</t>
        </is>
      </c>
      <c r="D5" s="2" t="inlineStr">
        <is>
          <t>Description</t>
        </is>
      </c>
      <c r="E5" s="2" t="inlineStr">
        <is>
          <t>Amount (KES)</t>
        </is>
      </c>
      <c r="F5" s="2" t="inlineStr">
        <is>
          <t>Payment Method</t>
        </is>
      </c>
      <c r="G5" s="2" t="inlineStr">
        <is>
          <t>Priority</t>
        </is>
      </c>
      <c r="H5" s="2" t="inlineStr">
        <is>
          <t>Notes</t>
        </is>
      </c>
      <c r="J5" s="3" t="inlineStr">
        <is>
          <t>Total Expenses:</t>
        </is>
      </c>
      <c r="L5" s="30">
        <f>SUM(E6:E205)</f>
        <v/>
      </c>
      <c r="O5" s="55" t="inlineStr">
        <is>
          <t>Main Category</t>
        </is>
      </c>
      <c r="P5" s="55" t="inlineStr">
        <is>
          <t>Common Subcategories</t>
        </is>
      </c>
    </row>
    <row r="6" ht="20" customHeight="1" s="28">
      <c r="A6" s="4" t="n"/>
      <c r="B6" s="4" t="n"/>
      <c r="C6" s="4" t="n"/>
      <c r="D6" s="4" t="n"/>
      <c r="E6" s="5" t="n"/>
      <c r="F6" s="4" t="n"/>
      <c r="G6" s="4" t="n"/>
      <c r="H6" s="4" t="n"/>
      <c r="J6" s="3" t="inlineStr">
        <is>
          <t>Essential:</t>
        </is>
      </c>
      <c r="L6" s="30">
        <f>SUMIF(G6:G205,"Essential",E6:E205)</f>
        <v/>
      </c>
      <c r="O6" s="56" t="inlineStr">
        <is>
          <t>Rent &amp; Utilities</t>
        </is>
      </c>
      <c r="P6" s="57" t="inlineStr">
        <is>
          <t>Rent, Electricity/KPLC, Water, Internet/WiFi, Gas/Cooking, Cable TV, Security, Garbage</t>
        </is>
      </c>
    </row>
    <row r="7" ht="18" customHeight="1" s="28">
      <c r="A7" s="6" t="n"/>
      <c r="B7" s="6" t="n"/>
      <c r="C7" s="6" t="n"/>
      <c r="D7" s="6" t="n"/>
      <c r="E7" s="7" t="n"/>
      <c r="F7" s="6" t="n"/>
      <c r="G7" s="6" t="n"/>
      <c r="H7" s="6" t="n"/>
      <c r="J7" s="3" t="inlineStr">
        <is>
          <t>Important:</t>
        </is>
      </c>
      <c r="L7" s="30">
        <f>SUMIF(G6:G205,"Important",E6:E205)</f>
        <v/>
      </c>
      <c r="O7" s="58" t="inlineStr">
        <is>
          <t>Food &amp; Groceries</t>
        </is>
      </c>
      <c r="P7" s="59" t="inlineStr">
        <is>
          <t>Groceries, Restaurant, Fast Food, Coffee/Tea, Snacks, Fruits/Vegetables, Meat/Fish, Dairy</t>
        </is>
      </c>
    </row>
    <row r="8" ht="18" customHeight="1" s="28">
      <c r="A8" s="4" t="n"/>
      <c r="B8" s="4" t="n"/>
      <c r="C8" s="4" t="n"/>
      <c r="D8" s="4" t="n"/>
      <c r="E8" s="5" t="n"/>
      <c r="F8" s="4" t="n"/>
      <c r="G8" s="4" t="n"/>
      <c r="H8" s="4" t="n"/>
      <c r="J8" s="3" t="inlineStr">
        <is>
          <t>Discretionary:</t>
        </is>
      </c>
      <c r="L8" s="30">
        <f>SUMIF(G6:G205,"Discretionary",E6:E205)</f>
        <v/>
      </c>
      <c r="O8" s="56" t="inlineStr">
        <is>
          <t>Transport</t>
        </is>
      </c>
      <c r="P8" s="57" t="inlineStr">
        <is>
          <t>Fuel/Petrol, Uber/Taxi, Matatu/Bus, Car Service, Car Insurance, Parking, Toll Fees, Car Wash</t>
        </is>
      </c>
    </row>
    <row r="9" ht="18" customHeight="1" s="28">
      <c r="A9" s="6" t="n"/>
      <c r="B9" s="6" t="n"/>
      <c r="C9" s="6" t="n"/>
      <c r="D9" s="6" t="n"/>
      <c r="E9" s="7" t="n"/>
      <c r="F9" s="6" t="n"/>
      <c r="G9" s="6" t="n"/>
      <c r="H9" s="6" t="n"/>
      <c r="J9" s="3" t="inlineStr">
        <is>
          <t>SACCO Savings:</t>
        </is>
      </c>
      <c r="L9" s="36">
        <f>SUMIF(B6:B205,"SACCO Savings",E6:E205)</f>
        <v/>
      </c>
      <c r="O9" s="58" t="inlineStr">
        <is>
          <t>Healthcare</t>
        </is>
      </c>
      <c r="P9" s="59" t="inlineStr">
        <is>
          <t>Doctor Visit, Medicine, Hospital, Health Insurance, Dental, Eye Care, Medical Tests, Emergency</t>
        </is>
      </c>
    </row>
    <row r="10" ht="18" customHeight="1" s="28">
      <c r="A10" s="4" t="n"/>
      <c r="B10" s="4" t="n"/>
      <c r="C10" s="4" t="n"/>
      <c r="D10" s="4" t="n"/>
      <c r="E10" s="5" t="n"/>
      <c r="F10" s="4" t="n"/>
      <c r="G10" s="4" t="n"/>
      <c r="H10" s="4" t="n"/>
      <c r="J10" s="3" t="inlineStr">
        <is>
          <t>Emergency Fund:</t>
        </is>
      </c>
      <c r="L10" s="36">
        <f>SUMIF(B6:B205,"Emergency Fund",E6:E205)</f>
        <v/>
      </c>
      <c r="O10" s="56" t="inlineStr">
        <is>
          <t>Education</t>
        </is>
      </c>
      <c r="P10" s="57" t="inlineStr">
        <is>
          <t>School Fees, Books, Courses, Training, Stationery, Uniforms, Online Learning, Tutoring</t>
        </is>
      </c>
    </row>
    <row r="11" ht="18" customHeight="1" s="28">
      <c r="A11" s="6" t="n"/>
      <c r="B11" s="6" t="n"/>
      <c r="C11" s="6" t="n"/>
      <c r="D11" s="6" t="n"/>
      <c r="E11" s="7" t="n"/>
      <c r="F11" s="6" t="n"/>
      <c r="G11" s="6" t="n"/>
      <c r="H11" s="6" t="n"/>
      <c r="J11" s="3" t="inlineStr">
        <is>
          <t>Transactions:</t>
        </is>
      </c>
      <c r="L11" s="30">
        <f>COUNTA(E6:E205)</f>
        <v/>
      </c>
      <c r="O11" s="58" t="inlineStr">
        <is>
          <t>Entertainment</t>
        </is>
      </c>
      <c r="P11" s="59" t="inlineStr">
        <is>
          <t>Movies, Sports, Concerts, Subscriptions, Netflix/TV, Gaming, Hobbies, Outings</t>
        </is>
      </c>
    </row>
    <row r="12" ht="18" customHeight="1" s="28">
      <c r="A12" s="4" t="n"/>
      <c r="B12" s="4" t="n"/>
      <c r="C12" s="4" t="n"/>
      <c r="D12" s="4" t="n"/>
      <c r="E12" s="5" t="n"/>
      <c r="F12" s="4" t="n"/>
      <c r="G12" s="4" t="n"/>
      <c r="H12" s="4" t="n"/>
      <c r="J12" s="3" t="inlineStr">
        <is>
          <t>Average Expense:</t>
        </is>
      </c>
      <c r="L12" s="30">
        <f>IFERROR(AVERAGE(E6:E205),0)</f>
        <v/>
      </c>
      <c r="O12" s="56" t="inlineStr">
        <is>
          <t>Shopping</t>
        </is>
      </c>
      <c r="P12" s="57" t="inlineStr">
        <is>
          <t>Clothing, Shoes, Electronics, Household Items, Furniture, Appliances, Gifts, Online Shopping</t>
        </is>
      </c>
    </row>
    <row r="13" ht="18" customHeight="1" s="28">
      <c r="A13" s="6" t="n"/>
      <c r="B13" s="6" t="n"/>
      <c r="C13" s="6" t="n"/>
      <c r="D13" s="6" t="n"/>
      <c r="E13" s="7" t="n"/>
      <c r="F13" s="6" t="n"/>
      <c r="G13" s="6" t="n"/>
      <c r="H13" s="6" t="n"/>
      <c r="O13" s="58" t="inlineStr">
        <is>
          <t>Personal Care</t>
        </is>
      </c>
      <c r="P13" s="59" t="inlineStr">
        <is>
          <t>Salon/Barber, Cosmetics, Toiletries, Gym, Spa, Grooming, Skincare, Wellness</t>
        </is>
      </c>
    </row>
    <row r="14" ht="18" customHeight="1" s="28">
      <c r="A14" s="4" t="n"/>
      <c r="B14" s="4" t="n"/>
      <c r="C14" s="4" t="n"/>
      <c r="D14" s="4" t="n"/>
      <c r="E14" s="5" t="n"/>
      <c r="F14" s="4" t="n"/>
      <c r="G14" s="4" t="n"/>
      <c r="H14" s="4" t="n"/>
      <c r="O14" s="56" t="inlineStr">
        <is>
          <t>Insurance</t>
        </is>
      </c>
      <c r="P14" s="57" t="inlineStr">
        <is>
          <t>Life Insurance, Health Insurance, Car Insurance, Home Insurance, Travel Insurance, Device Insurance</t>
        </is>
      </c>
    </row>
    <row r="15" ht="18" customHeight="1" s="28">
      <c r="A15" s="6" t="n"/>
      <c r="B15" s="6" t="n"/>
      <c r="C15" s="6" t="n"/>
      <c r="D15" s="6" t="n"/>
      <c r="E15" s="7" t="n"/>
      <c r="F15" s="6" t="n"/>
      <c r="G15" s="6" t="n"/>
      <c r="H15" s="6" t="n"/>
      <c r="O15" s="60" t="inlineStr">
        <is>
          <t>SACCO Savings</t>
        </is>
      </c>
      <c r="P15" s="59" t="inlineStr">
        <is>
          <t>Monthly Contribution, Extra Savings, Special Deposit, Share Capital</t>
        </is>
      </c>
    </row>
    <row r="16" ht="18" customHeight="1" s="28">
      <c r="A16" s="4" t="n"/>
      <c r="B16" s="4" t="n"/>
      <c r="C16" s="4" t="n"/>
      <c r="D16" s="4" t="n"/>
      <c r="E16" s="5" t="n"/>
      <c r="F16" s="4" t="n"/>
      <c r="G16" s="4" t="n"/>
      <c r="H16" s="4" t="n"/>
      <c r="J16" s="27" t="inlineStr">
        <is>
          <t>EXPENSE BY CATEGORY</t>
        </is>
      </c>
      <c r="O16" s="60" t="inlineStr">
        <is>
          <t>Emergency Fund</t>
        </is>
      </c>
      <c r="P16" s="57" t="inlineStr">
        <is>
          <t>Emergency Savings, Contingency Fund, Reserve Fund, Rainy Day Fund</t>
        </is>
      </c>
    </row>
    <row r="17" ht="18" customHeight="1" s="28">
      <c r="A17" s="6" t="n"/>
      <c r="B17" s="6" t="n"/>
      <c r="C17" s="6" t="n"/>
      <c r="D17" s="6" t="n"/>
      <c r="E17" s="7" t="n"/>
      <c r="F17" s="6" t="n"/>
      <c r="G17" s="6" t="n"/>
      <c r="H17" s="6" t="n"/>
      <c r="O17" s="58" t="inlineStr">
        <is>
          <t>Miscellaneous</t>
        </is>
      </c>
      <c r="P17" s="59" t="inlineStr">
        <is>
          <t>Airtime/Data, M-Pesa Charges, Bank Charges, Donations, Unexpected, Other</t>
        </is>
      </c>
    </row>
    <row r="18">
      <c r="A18" s="4" t="n"/>
      <c r="B18" s="4" t="n"/>
      <c r="C18" s="4" t="n"/>
      <c r="D18" s="4" t="n"/>
      <c r="E18" s="5" t="n"/>
      <c r="F18" s="4" t="n"/>
      <c r="G18" s="4" t="n"/>
      <c r="H18" s="4" t="n"/>
      <c r="J18" s="9" t="inlineStr">
        <is>
          <t>Category</t>
        </is>
      </c>
      <c r="K18" s="9" t="inlineStr">
        <is>
          <t>Amount</t>
        </is>
      </c>
      <c r="L18" s="9" t="inlineStr">
        <is>
          <t>% of Total</t>
        </is>
      </c>
    </row>
    <row r="19">
      <c r="A19" s="6" t="n"/>
      <c r="B19" s="6" t="n"/>
      <c r="C19" s="6" t="n"/>
      <c r="D19" s="6" t="n"/>
      <c r="E19" s="7" t="n"/>
      <c r="F19" s="6" t="n"/>
      <c r="G19" s="6" t="n"/>
      <c r="H19" s="6" t="n"/>
      <c r="J19" t="inlineStr">
        <is>
          <t>Regular Salary</t>
        </is>
      </c>
      <c r="K19" s="30">
        <f>SUMIF(B8:B157,J19,E8:E157)</f>
        <v/>
      </c>
      <c r="L19" s="10">
        <f>IFERROR(K19/$L$5*100,0)</f>
        <v/>
      </c>
      <c r="O19" s="61" t="inlineStr">
        <is>
          <t>IMPORTANT NOTES</t>
        </is>
      </c>
    </row>
    <row r="20">
      <c r="A20" s="4" t="n"/>
      <c r="B20" s="4" t="n"/>
      <c r="C20" s="4" t="n"/>
      <c r="D20" s="4" t="n"/>
      <c r="E20" s="5" t="n"/>
      <c r="F20" s="4" t="n"/>
      <c r="G20" s="4" t="n"/>
      <c r="H20" s="4" t="n"/>
      <c r="J20" t="inlineStr">
        <is>
          <t>Freelance Work</t>
        </is>
      </c>
      <c r="K20" s="30">
        <f>SUMIF(B8:B157,J20,E8:E157)</f>
        <v/>
      </c>
      <c r="L20" s="10">
        <f>IFERROR(K20/$L$5*100,0)</f>
        <v/>
      </c>
    </row>
    <row r="21">
      <c r="A21" s="6" t="n"/>
      <c r="B21" s="6" t="n"/>
      <c r="C21" s="6" t="n"/>
      <c r="D21" s="6" t="n"/>
      <c r="E21" s="7" t="n"/>
      <c r="F21" s="6" t="n"/>
      <c r="G21" s="6" t="n"/>
      <c r="H21" s="6" t="n"/>
      <c r="J21" t="inlineStr">
        <is>
          <t>Side Job</t>
        </is>
      </c>
      <c r="K21" s="30">
        <f>SUMIF(B8:B157,J21,E8:E157)</f>
        <v/>
      </c>
      <c r="L21" s="10">
        <f>IFERROR(K21/$L$5*100,0)</f>
        <v/>
      </c>
      <c r="O21" s="62" t="inlineStr">
        <is>
          <t>For Internet/WiFi:</t>
        </is>
      </c>
      <c r="P21" s="63" t="inlineStr">
        <is>
          <t>Select "Rent &amp; Utilities" → Enter "Internet" in Subcategory</t>
        </is>
      </c>
    </row>
    <row r="22">
      <c r="A22" s="4" t="n"/>
      <c r="B22" s="4" t="n"/>
      <c r="C22" s="4" t="n"/>
      <c r="D22" s="4" t="n"/>
      <c r="E22" s="5" t="n"/>
      <c r="F22" s="4" t="n"/>
      <c r="G22" s="4" t="n"/>
      <c r="H22" s="4" t="n"/>
      <c r="J22" t="inlineStr">
        <is>
          <t>Business Income</t>
        </is>
      </c>
      <c r="K22" s="30">
        <f>SUMIF(B8:B157,J22,E8:E157)</f>
        <v/>
      </c>
      <c r="L22" s="10">
        <f>IFERROR(K22/$L$5*100,0)</f>
        <v/>
      </c>
      <c r="O22" s="62" t="inlineStr">
        <is>
          <t>For Side Jobs:</t>
        </is>
      </c>
      <c r="P22" s="63" t="inlineStr">
        <is>
          <t>Track income in "Income Tracking" sheet</t>
        </is>
      </c>
    </row>
    <row r="23">
      <c r="A23" s="6" t="n"/>
      <c r="B23" s="6" t="n"/>
      <c r="C23" s="6" t="n"/>
      <c r="D23" s="6" t="n"/>
      <c r="E23" s="7" t="n"/>
      <c r="F23" s="6" t="n"/>
      <c r="G23" s="6" t="n"/>
      <c r="H23" s="6" t="n"/>
      <c r="J23" t="inlineStr">
        <is>
          <t>Investment Returns</t>
        </is>
      </c>
      <c r="K23" s="30">
        <f>SUMIF(B8:B157,J23,E8:E157)</f>
        <v/>
      </c>
      <c r="L23" s="10">
        <f>IFERROR(K23/$L$5*100,0)</f>
        <v/>
      </c>
      <c r="O23" s="62" t="inlineStr">
        <is>
          <t>Priority Savings:</t>
        </is>
      </c>
      <c r="P23" s="63" t="inlineStr">
        <is>
          <t>SACCO &amp; Emergency Fund should be paid first</t>
        </is>
      </c>
    </row>
    <row r="24">
      <c r="A24" s="4" t="n"/>
      <c r="B24" s="4" t="n"/>
      <c r="C24" s="4" t="n"/>
      <c r="D24" s="4" t="n"/>
      <c r="E24" s="5" t="n"/>
      <c r="F24" s="4" t="n"/>
      <c r="G24" s="4" t="n"/>
      <c r="H24" s="4" t="n"/>
      <c r="J24" t="inlineStr">
        <is>
          <t>Rental Income</t>
        </is>
      </c>
      <c r="K24" s="30">
        <f>SUMIF(B8:B157,J24,E8:E157)</f>
        <v/>
      </c>
      <c r="L24" s="10">
        <f>IFERROR(K24/$L$5*100,0)</f>
        <v/>
      </c>
      <c r="O24" s="62" t="inlineStr">
        <is>
          <t>Subcategory Column:</t>
        </is>
      </c>
      <c r="P24" s="63" t="inlineStr">
        <is>
          <t>Type specific details in Column C for better tracking</t>
        </is>
      </c>
    </row>
    <row r="25">
      <c r="A25" s="6" t="n"/>
      <c r="B25" s="6" t="n"/>
      <c r="C25" s="6" t="n"/>
      <c r="D25" s="6" t="n"/>
      <c r="E25" s="7" t="n"/>
      <c r="F25" s="6" t="n"/>
      <c r="G25" s="6" t="n"/>
      <c r="H25" s="6" t="n"/>
      <c r="J25" t="inlineStr">
        <is>
          <t>Commission</t>
        </is>
      </c>
      <c r="K25" s="30">
        <f>SUMIF(B8:B157,J25,E8:E157)</f>
        <v/>
      </c>
      <c r="L25" s="10">
        <f>IFERROR(K25/$L$5*100,0)</f>
        <v/>
      </c>
    </row>
    <row r="26">
      <c r="A26" s="4" t="n"/>
      <c r="B26" s="4" t="n"/>
      <c r="C26" s="4" t="n"/>
      <c r="D26" s="4" t="n"/>
      <c r="E26" s="5" t="n"/>
      <c r="F26" s="4" t="n"/>
      <c r="G26" s="4" t="n"/>
      <c r="H26" s="4" t="n"/>
      <c r="J26" t="inlineStr">
        <is>
          <t>Bonus</t>
        </is>
      </c>
      <c r="K26" s="30">
        <f>SUMIF(B8:B157,J26,E8:E157)</f>
        <v/>
      </c>
      <c r="L26" s="10">
        <f>IFERROR(K26/$L$5*100,0)</f>
        <v/>
      </c>
    </row>
    <row r="27">
      <c r="A27" s="6" t="n"/>
      <c r="B27" s="6" t="n"/>
      <c r="C27" s="6" t="n"/>
      <c r="D27" s="6" t="n"/>
      <c r="E27" s="7" t="n"/>
      <c r="F27" s="6" t="n"/>
      <c r="G27" s="6" t="n"/>
      <c r="H27" s="6" t="n"/>
      <c r="J27" t="inlineStr">
        <is>
          <t>Gift</t>
        </is>
      </c>
      <c r="K27" s="30">
        <f>SUMIF(B8:B157,J27,E8:E157)</f>
        <v/>
      </c>
      <c r="L27" s="10">
        <f>IFERROR(K27/$L$5*100,0)</f>
        <v/>
      </c>
    </row>
    <row r="28">
      <c r="A28" s="4" t="n"/>
      <c r="B28" s="4" t="n"/>
      <c r="C28" s="4" t="n"/>
      <c r="D28" s="4" t="n"/>
      <c r="E28" s="5" t="n"/>
      <c r="F28" s="4" t="n"/>
      <c r="G28" s="4" t="n"/>
      <c r="H28" s="4" t="n"/>
      <c r="J28" t="inlineStr">
        <is>
          <t>Tax Refund</t>
        </is>
      </c>
      <c r="K28" s="30">
        <f>SUMIF(B8:B157,J28,E8:E157)</f>
        <v/>
      </c>
      <c r="L28" s="10">
        <f>IFERROR(K28/$L$5*100,0)</f>
        <v/>
      </c>
    </row>
    <row r="29">
      <c r="A29" s="6" t="n"/>
      <c r="B29" s="6" t="n"/>
      <c r="C29" s="6" t="n"/>
      <c r="D29" s="6" t="n"/>
      <c r="E29" s="7" t="n"/>
      <c r="F29" s="6" t="n"/>
      <c r="G29" s="6" t="n"/>
      <c r="H29" s="6" t="n"/>
    </row>
    <row r="30">
      <c r="A30" s="4" t="n"/>
      <c r="B30" s="4" t="n"/>
      <c r="C30" s="4" t="n"/>
      <c r="D30" s="4" t="n"/>
      <c r="E30" s="5" t="n"/>
      <c r="F30" s="4" t="n"/>
      <c r="G30" s="4" t="n"/>
      <c r="H30" s="4" t="n"/>
    </row>
    <row r="31">
      <c r="A31" s="6" t="n"/>
      <c r="B31" s="6" t="n"/>
      <c r="C31" s="6" t="n"/>
      <c r="D31" s="6" t="n"/>
      <c r="E31" s="7" t="n"/>
      <c r="F31" s="6" t="n"/>
      <c r="G31" s="6" t="n"/>
      <c r="H31" s="6" t="n"/>
    </row>
    <row r="32">
      <c r="A32" s="4" t="n"/>
      <c r="B32" s="4" t="n"/>
      <c r="C32" s="4" t="n"/>
      <c r="D32" s="4" t="n"/>
      <c r="E32" s="5" t="n"/>
      <c r="F32" s="4" t="n"/>
      <c r="G32" s="4" t="n"/>
      <c r="H32" s="4" t="n"/>
    </row>
    <row r="33">
      <c r="A33" s="6" t="n"/>
      <c r="B33" s="6" t="n"/>
      <c r="C33" s="6" t="n"/>
      <c r="D33" s="6" t="n"/>
      <c r="E33" s="7" t="n"/>
      <c r="F33" s="6" t="n"/>
      <c r="G33" s="6" t="n"/>
      <c r="H33" s="6" t="n"/>
    </row>
    <row r="34">
      <c r="A34" s="4" t="n"/>
      <c r="B34" s="4" t="n"/>
      <c r="C34" s="4" t="n"/>
      <c r="D34" s="4" t="n"/>
      <c r="E34" s="5" t="n"/>
      <c r="F34" s="4" t="n"/>
      <c r="G34" s="4" t="n"/>
      <c r="H34" s="4" t="n"/>
    </row>
    <row r="35">
      <c r="A35" s="6" t="n"/>
      <c r="B35" s="6" t="n"/>
      <c r="C35" s="6" t="n"/>
      <c r="D35" s="6" t="n"/>
      <c r="E35" s="7" t="n"/>
      <c r="F35" s="6" t="n"/>
      <c r="G35" s="6" t="n"/>
      <c r="H35" s="6" t="n"/>
    </row>
    <row r="36">
      <c r="A36" s="4" t="n"/>
      <c r="B36" s="4" t="n"/>
      <c r="C36" s="4" t="n"/>
      <c r="D36" s="4" t="n"/>
      <c r="E36" s="5" t="n"/>
      <c r="F36" s="4" t="n"/>
      <c r="G36" s="4" t="n"/>
      <c r="H36" s="4" t="n"/>
    </row>
    <row r="37">
      <c r="A37" s="6" t="n"/>
      <c r="B37" s="6" t="n"/>
      <c r="C37" s="6" t="n"/>
      <c r="D37" s="6" t="n"/>
      <c r="E37" s="7" t="n"/>
      <c r="F37" s="6" t="n"/>
      <c r="G37" s="6" t="n"/>
      <c r="H37" s="6" t="n"/>
    </row>
    <row r="38">
      <c r="A38" s="4" t="n"/>
      <c r="B38" s="4" t="n"/>
      <c r="C38" s="4" t="n"/>
      <c r="D38" s="4" t="n"/>
      <c r="E38" s="5" t="n"/>
      <c r="F38" s="4" t="n"/>
      <c r="G38" s="4" t="n"/>
      <c r="H38" s="4" t="n"/>
    </row>
    <row r="39">
      <c r="A39" s="6" t="n"/>
      <c r="B39" s="6" t="n"/>
      <c r="C39" s="6" t="n"/>
      <c r="D39" s="6" t="n"/>
      <c r="E39" s="7" t="n"/>
      <c r="F39" s="6" t="n"/>
      <c r="G39" s="6" t="n"/>
      <c r="H39" s="6" t="n"/>
    </row>
    <row r="40">
      <c r="A40" s="4" t="n"/>
      <c r="B40" s="4" t="n"/>
      <c r="C40" s="4" t="n"/>
      <c r="D40" s="4" t="n"/>
      <c r="E40" s="5" t="n"/>
      <c r="F40" s="4" t="n"/>
      <c r="G40" s="4" t="n"/>
      <c r="H40" s="4" t="n"/>
    </row>
    <row r="41">
      <c r="A41" s="6" t="n"/>
      <c r="B41" s="6" t="n"/>
      <c r="C41" s="6" t="n"/>
      <c r="D41" s="6" t="n"/>
      <c r="E41" s="7" t="n"/>
      <c r="F41" s="6" t="n"/>
      <c r="G41" s="6" t="n"/>
      <c r="H41" s="6" t="n"/>
    </row>
    <row r="42">
      <c r="A42" s="4" t="n"/>
      <c r="B42" s="4" t="n"/>
      <c r="C42" s="4" t="n"/>
      <c r="D42" s="4" t="n"/>
      <c r="E42" s="5" t="n"/>
      <c r="F42" s="4" t="n"/>
      <c r="G42" s="4" t="n"/>
      <c r="H42" s="4" t="n"/>
    </row>
    <row r="43">
      <c r="A43" s="6" t="n"/>
      <c r="B43" s="6" t="n"/>
      <c r="C43" s="6" t="n"/>
      <c r="D43" s="6" t="n"/>
      <c r="E43" s="7" t="n"/>
      <c r="F43" s="6" t="n"/>
      <c r="G43" s="6" t="n"/>
      <c r="H43" s="6" t="n"/>
    </row>
    <row r="44">
      <c r="A44" s="4" t="n"/>
      <c r="B44" s="4" t="n"/>
      <c r="C44" s="4" t="n"/>
      <c r="D44" s="4" t="n"/>
      <c r="E44" s="5" t="n"/>
      <c r="F44" s="4" t="n"/>
      <c r="G44" s="4" t="n"/>
      <c r="H44" s="4" t="n"/>
    </row>
    <row r="45">
      <c r="A45" s="6" t="n"/>
      <c r="B45" s="6" t="n"/>
      <c r="C45" s="6" t="n"/>
      <c r="D45" s="6" t="n"/>
      <c r="E45" s="7" t="n"/>
      <c r="F45" s="6" t="n"/>
      <c r="G45" s="6" t="n"/>
      <c r="H45" s="6" t="n"/>
    </row>
    <row r="46">
      <c r="A46" s="4" t="n"/>
      <c r="B46" s="4" t="n"/>
      <c r="C46" s="4" t="n"/>
      <c r="D46" s="4" t="n"/>
      <c r="E46" s="5" t="n"/>
      <c r="F46" s="4" t="n"/>
      <c r="G46" s="4" t="n"/>
      <c r="H46" s="4" t="n"/>
    </row>
    <row r="47">
      <c r="A47" s="6" t="n"/>
      <c r="B47" s="6" t="n"/>
      <c r="C47" s="6" t="n"/>
      <c r="D47" s="6" t="n"/>
      <c r="E47" s="7" t="n"/>
      <c r="F47" s="6" t="n"/>
      <c r="G47" s="6" t="n"/>
      <c r="H47" s="6" t="n"/>
    </row>
    <row r="48">
      <c r="A48" s="4" t="n"/>
      <c r="B48" s="4" t="n"/>
      <c r="C48" s="4" t="n"/>
      <c r="D48" s="4" t="n"/>
      <c r="E48" s="5" t="n"/>
      <c r="F48" s="4" t="n"/>
      <c r="G48" s="4" t="n"/>
      <c r="H48" s="4" t="n"/>
    </row>
    <row r="49">
      <c r="A49" s="6" t="n"/>
      <c r="B49" s="6" t="n"/>
      <c r="C49" s="6" t="n"/>
      <c r="D49" s="6" t="n"/>
      <c r="E49" s="7" t="n"/>
      <c r="F49" s="6" t="n"/>
      <c r="G49" s="6" t="n"/>
      <c r="H49" s="6" t="n"/>
    </row>
    <row r="50">
      <c r="A50" s="4" t="n"/>
      <c r="B50" s="4" t="n"/>
      <c r="C50" s="4" t="n"/>
      <c r="D50" s="4" t="n"/>
      <c r="E50" s="5" t="n"/>
      <c r="F50" s="4" t="n"/>
      <c r="G50" s="4" t="n"/>
      <c r="H50" s="4" t="n"/>
    </row>
    <row r="51">
      <c r="A51" s="6" t="n"/>
      <c r="B51" s="6" t="n"/>
      <c r="C51" s="6" t="n"/>
      <c r="D51" s="6" t="n"/>
      <c r="E51" s="7" t="n"/>
      <c r="F51" s="6" t="n"/>
      <c r="G51" s="6" t="n"/>
      <c r="H51" s="6" t="n"/>
    </row>
    <row r="52">
      <c r="A52" s="4" t="n"/>
      <c r="B52" s="4" t="n"/>
      <c r="C52" s="4" t="n"/>
      <c r="D52" s="4" t="n"/>
      <c r="E52" s="5" t="n"/>
      <c r="F52" s="4" t="n"/>
      <c r="G52" s="4" t="n"/>
      <c r="H52" s="4" t="n"/>
    </row>
    <row r="53">
      <c r="A53" s="6" t="n"/>
      <c r="B53" s="6" t="n"/>
      <c r="C53" s="6" t="n"/>
      <c r="D53" s="6" t="n"/>
      <c r="E53" s="7" t="n"/>
      <c r="F53" s="6" t="n"/>
      <c r="G53" s="6" t="n"/>
      <c r="H53" s="6" t="n"/>
    </row>
    <row r="54">
      <c r="A54" s="4" t="n"/>
      <c r="B54" s="4" t="n"/>
      <c r="C54" s="4" t="n"/>
      <c r="D54" s="4" t="n"/>
      <c r="E54" s="5" t="n"/>
      <c r="F54" s="4" t="n"/>
      <c r="G54" s="4" t="n"/>
      <c r="H54" s="4" t="n"/>
    </row>
    <row r="55">
      <c r="A55" s="6" t="n"/>
      <c r="B55" s="6" t="n"/>
      <c r="C55" s="6" t="n"/>
      <c r="D55" s="6" t="n"/>
      <c r="E55" s="7" t="n"/>
      <c r="F55" s="6" t="n"/>
      <c r="G55" s="6" t="n"/>
      <c r="H55" s="6" t="n"/>
    </row>
    <row r="56">
      <c r="A56" s="4" t="n"/>
      <c r="B56" s="4" t="n"/>
      <c r="C56" s="4" t="n"/>
      <c r="D56" s="4" t="n"/>
      <c r="E56" s="5" t="n"/>
      <c r="F56" s="4" t="n"/>
      <c r="G56" s="4" t="n"/>
      <c r="H56" s="4" t="n"/>
    </row>
    <row r="57">
      <c r="A57" s="6" t="n"/>
      <c r="B57" s="6" t="n"/>
      <c r="C57" s="6" t="n"/>
      <c r="D57" s="6" t="n"/>
      <c r="E57" s="7" t="n"/>
      <c r="F57" s="6" t="n"/>
      <c r="G57" s="6" t="n"/>
      <c r="H57" s="6" t="n"/>
    </row>
    <row r="58">
      <c r="A58" s="4" t="n"/>
      <c r="B58" s="4" t="n"/>
      <c r="C58" s="4" t="n"/>
      <c r="D58" s="4" t="n"/>
      <c r="E58" s="5" t="n"/>
      <c r="F58" s="4" t="n"/>
      <c r="G58" s="4" t="n"/>
      <c r="H58" s="4" t="n"/>
    </row>
    <row r="59">
      <c r="A59" s="6" t="n"/>
      <c r="B59" s="6" t="n"/>
      <c r="C59" s="6" t="n"/>
      <c r="D59" s="6" t="n"/>
      <c r="E59" s="7" t="n"/>
      <c r="F59" s="6" t="n"/>
      <c r="G59" s="6" t="n"/>
      <c r="H59" s="6" t="n"/>
    </row>
    <row r="60">
      <c r="A60" s="4" t="n"/>
      <c r="B60" s="4" t="n"/>
      <c r="C60" s="4" t="n"/>
      <c r="D60" s="4" t="n"/>
      <c r="E60" s="5" t="n"/>
      <c r="F60" s="4" t="n"/>
      <c r="G60" s="4" t="n"/>
      <c r="H60" s="4" t="n"/>
    </row>
    <row r="61">
      <c r="A61" s="6" t="n"/>
      <c r="B61" s="6" t="n"/>
      <c r="C61" s="6" t="n"/>
      <c r="D61" s="6" t="n"/>
      <c r="E61" s="7" t="n"/>
      <c r="F61" s="6" t="n"/>
      <c r="G61" s="6" t="n"/>
      <c r="H61" s="6" t="n"/>
    </row>
    <row r="62">
      <c r="A62" s="4" t="n"/>
      <c r="B62" s="4" t="n"/>
      <c r="C62" s="4" t="n"/>
      <c r="D62" s="4" t="n"/>
      <c r="E62" s="5" t="n"/>
      <c r="F62" s="4" t="n"/>
      <c r="G62" s="4" t="n"/>
      <c r="H62" s="4" t="n"/>
    </row>
    <row r="63">
      <c r="A63" s="6" t="n"/>
      <c r="B63" s="6" t="n"/>
      <c r="C63" s="6" t="n"/>
      <c r="D63" s="6" t="n"/>
      <c r="E63" s="7" t="n"/>
      <c r="F63" s="6" t="n"/>
      <c r="G63" s="6" t="n"/>
      <c r="H63" s="6" t="n"/>
    </row>
    <row r="64">
      <c r="A64" s="4" t="n"/>
      <c r="B64" s="4" t="n"/>
      <c r="C64" s="4" t="n"/>
      <c r="D64" s="4" t="n"/>
      <c r="E64" s="5" t="n"/>
      <c r="F64" s="4" t="n"/>
      <c r="G64" s="4" t="n"/>
      <c r="H64" s="4" t="n"/>
    </row>
    <row r="65">
      <c r="A65" s="6" t="n"/>
      <c r="B65" s="6" t="n"/>
      <c r="C65" s="6" t="n"/>
      <c r="D65" s="6" t="n"/>
      <c r="E65" s="7" t="n"/>
      <c r="F65" s="6" t="n"/>
      <c r="G65" s="6" t="n"/>
      <c r="H65" s="6" t="n"/>
    </row>
    <row r="66">
      <c r="A66" s="4" t="n"/>
      <c r="B66" s="4" t="n"/>
      <c r="C66" s="4" t="n"/>
      <c r="D66" s="4" t="n"/>
      <c r="E66" s="5" t="n"/>
      <c r="F66" s="4" t="n"/>
      <c r="G66" s="4" t="n"/>
      <c r="H66" s="4" t="n"/>
    </row>
    <row r="67">
      <c r="A67" s="6" t="n"/>
      <c r="B67" s="6" t="n"/>
      <c r="C67" s="6" t="n"/>
      <c r="D67" s="6" t="n"/>
      <c r="E67" s="7" t="n"/>
      <c r="F67" s="6" t="n"/>
      <c r="G67" s="6" t="n"/>
      <c r="H67" s="6" t="n"/>
    </row>
    <row r="68">
      <c r="A68" s="4" t="n"/>
      <c r="B68" s="4" t="n"/>
      <c r="C68" s="4" t="n"/>
      <c r="D68" s="4" t="n"/>
      <c r="E68" s="5" t="n"/>
      <c r="F68" s="4" t="n"/>
      <c r="G68" s="4" t="n"/>
      <c r="H68" s="4" t="n"/>
    </row>
    <row r="69">
      <c r="A69" s="6" t="n"/>
      <c r="B69" s="6" t="n"/>
      <c r="C69" s="6" t="n"/>
      <c r="D69" s="6" t="n"/>
      <c r="E69" s="7" t="n"/>
      <c r="F69" s="6" t="n"/>
      <c r="G69" s="6" t="n"/>
      <c r="H69" s="6" t="n"/>
    </row>
    <row r="70">
      <c r="A70" s="4" t="n"/>
      <c r="B70" s="4" t="n"/>
      <c r="C70" s="4" t="n"/>
      <c r="D70" s="4" t="n"/>
      <c r="E70" s="5" t="n"/>
      <c r="F70" s="4" t="n"/>
      <c r="G70" s="4" t="n"/>
      <c r="H70" s="4" t="n"/>
    </row>
    <row r="71">
      <c r="A71" s="6" t="n"/>
      <c r="B71" s="6" t="n"/>
      <c r="C71" s="6" t="n"/>
      <c r="D71" s="6" t="n"/>
      <c r="E71" s="7" t="n"/>
      <c r="F71" s="6" t="n"/>
      <c r="G71" s="6" t="n"/>
      <c r="H71" s="6" t="n"/>
    </row>
    <row r="72">
      <c r="A72" s="4" t="n"/>
      <c r="B72" s="4" t="n"/>
      <c r="C72" s="4" t="n"/>
      <c r="D72" s="4" t="n"/>
      <c r="E72" s="5" t="n"/>
      <c r="F72" s="4" t="n"/>
      <c r="G72" s="4" t="n"/>
      <c r="H72" s="4" t="n"/>
    </row>
    <row r="73">
      <c r="A73" s="6" t="n"/>
      <c r="B73" s="6" t="n"/>
      <c r="C73" s="6" t="n"/>
      <c r="D73" s="6" t="n"/>
      <c r="E73" s="7" t="n"/>
      <c r="F73" s="6" t="n"/>
      <c r="G73" s="6" t="n"/>
      <c r="H73" s="6" t="n"/>
    </row>
    <row r="74">
      <c r="A74" s="4" t="n"/>
      <c r="B74" s="4" t="n"/>
      <c r="C74" s="4" t="n"/>
      <c r="D74" s="4" t="n"/>
      <c r="E74" s="5" t="n"/>
      <c r="F74" s="4" t="n"/>
      <c r="G74" s="4" t="n"/>
      <c r="H74" s="4" t="n"/>
    </row>
    <row r="75">
      <c r="A75" s="6" t="n"/>
      <c r="B75" s="6" t="n"/>
      <c r="C75" s="6" t="n"/>
      <c r="D75" s="6" t="n"/>
      <c r="E75" s="7" t="n"/>
      <c r="F75" s="6" t="n"/>
      <c r="G75" s="6" t="n"/>
      <c r="H75" s="6" t="n"/>
    </row>
    <row r="76">
      <c r="A76" s="4" t="n"/>
      <c r="B76" s="4" t="n"/>
      <c r="C76" s="4" t="n"/>
      <c r="D76" s="4" t="n"/>
      <c r="E76" s="5" t="n"/>
      <c r="F76" s="4" t="n"/>
      <c r="G76" s="4" t="n"/>
      <c r="H76" s="4" t="n"/>
    </row>
    <row r="77">
      <c r="A77" s="6" t="n"/>
      <c r="B77" s="6" t="n"/>
      <c r="C77" s="6" t="n"/>
      <c r="D77" s="6" t="n"/>
      <c r="E77" s="7" t="n"/>
      <c r="F77" s="6" t="n"/>
      <c r="G77" s="6" t="n"/>
      <c r="H77" s="6" t="n"/>
    </row>
    <row r="78">
      <c r="A78" s="4" t="n"/>
      <c r="B78" s="4" t="n"/>
      <c r="C78" s="4" t="n"/>
      <c r="D78" s="4" t="n"/>
      <c r="E78" s="5" t="n"/>
      <c r="F78" s="4" t="n"/>
      <c r="G78" s="4" t="n"/>
      <c r="H78" s="4" t="n"/>
    </row>
    <row r="79">
      <c r="A79" s="6" t="n"/>
      <c r="B79" s="6" t="n"/>
      <c r="C79" s="6" t="n"/>
      <c r="D79" s="6" t="n"/>
      <c r="E79" s="7" t="n"/>
      <c r="F79" s="6" t="n"/>
      <c r="G79" s="6" t="n"/>
      <c r="H79" s="6" t="n"/>
    </row>
    <row r="80">
      <c r="A80" s="4" t="n"/>
      <c r="B80" s="4" t="n"/>
      <c r="C80" s="4" t="n"/>
      <c r="D80" s="4" t="n"/>
      <c r="E80" s="5" t="n"/>
      <c r="F80" s="4" t="n"/>
      <c r="G80" s="4" t="n"/>
      <c r="H80" s="4" t="n"/>
    </row>
    <row r="81">
      <c r="A81" s="6" t="n"/>
      <c r="B81" s="6" t="n"/>
      <c r="C81" s="6" t="n"/>
      <c r="D81" s="6" t="n"/>
      <c r="E81" s="7" t="n"/>
      <c r="F81" s="6" t="n"/>
      <c r="G81" s="6" t="n"/>
      <c r="H81" s="6" t="n"/>
    </row>
    <row r="82">
      <c r="A82" s="4" t="n"/>
      <c r="B82" s="4" t="n"/>
      <c r="C82" s="4" t="n"/>
      <c r="D82" s="4" t="n"/>
      <c r="E82" s="5" t="n"/>
      <c r="F82" s="4" t="n"/>
      <c r="G82" s="4" t="n"/>
      <c r="H82" s="4" t="n"/>
    </row>
    <row r="83">
      <c r="A83" s="6" t="n"/>
      <c r="B83" s="6" t="n"/>
      <c r="C83" s="6" t="n"/>
      <c r="D83" s="6" t="n"/>
      <c r="E83" s="7" t="n"/>
      <c r="F83" s="6" t="n"/>
      <c r="G83" s="6" t="n"/>
      <c r="H83" s="6" t="n"/>
    </row>
    <row r="84">
      <c r="A84" s="4" t="n"/>
      <c r="B84" s="4" t="n"/>
      <c r="C84" s="4" t="n"/>
      <c r="D84" s="4" t="n"/>
      <c r="E84" s="5" t="n"/>
      <c r="F84" s="4" t="n"/>
      <c r="G84" s="4" t="n"/>
      <c r="H84" s="4" t="n"/>
    </row>
    <row r="85">
      <c r="A85" s="6" t="n"/>
      <c r="B85" s="6" t="n"/>
      <c r="C85" s="6" t="n"/>
      <c r="D85" s="6" t="n"/>
      <c r="E85" s="7" t="n"/>
      <c r="F85" s="6" t="n"/>
      <c r="G85" s="6" t="n"/>
      <c r="H85" s="6" t="n"/>
    </row>
    <row r="86">
      <c r="A86" s="4" t="n"/>
      <c r="B86" s="4" t="n"/>
      <c r="C86" s="4" t="n"/>
      <c r="D86" s="4" t="n"/>
      <c r="E86" s="5" t="n"/>
      <c r="F86" s="4" t="n"/>
      <c r="G86" s="4" t="n"/>
      <c r="H86" s="4" t="n"/>
    </row>
    <row r="87">
      <c r="A87" s="6" t="n"/>
      <c r="B87" s="6" t="n"/>
      <c r="C87" s="6" t="n"/>
      <c r="D87" s="6" t="n"/>
      <c r="E87" s="7" t="n"/>
      <c r="F87" s="6" t="n"/>
      <c r="G87" s="6" t="n"/>
      <c r="H87" s="6" t="n"/>
    </row>
    <row r="88">
      <c r="A88" s="4" t="n"/>
      <c r="B88" s="4" t="n"/>
      <c r="C88" s="4" t="n"/>
      <c r="D88" s="4" t="n"/>
      <c r="E88" s="5" t="n"/>
      <c r="F88" s="4" t="n"/>
      <c r="G88" s="4" t="n"/>
      <c r="H88" s="4" t="n"/>
    </row>
    <row r="89">
      <c r="A89" s="6" t="n"/>
      <c r="B89" s="6" t="n"/>
      <c r="C89" s="6" t="n"/>
      <c r="D89" s="6" t="n"/>
      <c r="E89" s="7" t="n"/>
      <c r="F89" s="6" t="n"/>
      <c r="G89" s="6" t="n"/>
      <c r="H89" s="6" t="n"/>
    </row>
    <row r="90">
      <c r="A90" s="4" t="n"/>
      <c r="B90" s="4" t="n"/>
      <c r="C90" s="4" t="n"/>
      <c r="D90" s="4" t="n"/>
      <c r="E90" s="5" t="n"/>
      <c r="F90" s="4" t="n"/>
      <c r="G90" s="4" t="n"/>
      <c r="H90" s="4" t="n"/>
    </row>
    <row r="91">
      <c r="A91" s="6" t="n"/>
      <c r="B91" s="6" t="n"/>
      <c r="C91" s="6" t="n"/>
      <c r="D91" s="6" t="n"/>
      <c r="E91" s="7" t="n"/>
      <c r="F91" s="6" t="n"/>
      <c r="G91" s="6" t="n"/>
      <c r="H91" s="6" t="n"/>
    </row>
    <row r="92">
      <c r="A92" s="4" t="n"/>
      <c r="B92" s="4" t="n"/>
      <c r="C92" s="4" t="n"/>
      <c r="D92" s="4" t="n"/>
      <c r="E92" s="5" t="n"/>
      <c r="F92" s="4" t="n"/>
      <c r="G92" s="4" t="n"/>
      <c r="H92" s="4" t="n"/>
    </row>
    <row r="93">
      <c r="A93" s="6" t="n"/>
      <c r="B93" s="6" t="n"/>
      <c r="C93" s="6" t="n"/>
      <c r="D93" s="6" t="n"/>
      <c r="E93" s="7" t="n"/>
      <c r="F93" s="6" t="n"/>
      <c r="G93" s="6" t="n"/>
      <c r="H93" s="6" t="n"/>
    </row>
    <row r="94">
      <c r="A94" s="4" t="n"/>
      <c r="B94" s="4" t="n"/>
      <c r="C94" s="4" t="n"/>
      <c r="D94" s="4" t="n"/>
      <c r="E94" s="5" t="n"/>
      <c r="F94" s="4" t="n"/>
      <c r="G94" s="4" t="n"/>
      <c r="H94" s="4" t="n"/>
    </row>
    <row r="95">
      <c r="A95" s="6" t="n"/>
      <c r="B95" s="6" t="n"/>
      <c r="C95" s="6" t="n"/>
      <c r="D95" s="6" t="n"/>
      <c r="E95" s="7" t="n"/>
      <c r="F95" s="6" t="n"/>
      <c r="G95" s="6" t="n"/>
      <c r="H95" s="6" t="n"/>
    </row>
    <row r="96">
      <c r="A96" s="4" t="n"/>
      <c r="B96" s="4" t="n"/>
      <c r="C96" s="4" t="n"/>
      <c r="D96" s="4" t="n"/>
      <c r="E96" s="5" t="n"/>
      <c r="F96" s="4" t="n"/>
      <c r="G96" s="4" t="n"/>
      <c r="H96" s="4" t="n"/>
    </row>
    <row r="97">
      <c r="A97" s="6" t="n"/>
      <c r="B97" s="6" t="n"/>
      <c r="C97" s="6" t="n"/>
      <c r="D97" s="6" t="n"/>
      <c r="E97" s="7" t="n"/>
      <c r="F97" s="6" t="n"/>
      <c r="G97" s="6" t="n"/>
      <c r="H97" s="6" t="n"/>
    </row>
    <row r="98">
      <c r="A98" s="4" t="n"/>
      <c r="B98" s="4" t="n"/>
      <c r="C98" s="4" t="n"/>
      <c r="D98" s="4" t="n"/>
      <c r="E98" s="5" t="n"/>
      <c r="F98" s="4" t="n"/>
      <c r="G98" s="4" t="n"/>
      <c r="H98" s="4" t="n"/>
    </row>
    <row r="99">
      <c r="A99" s="6" t="n"/>
      <c r="B99" s="6" t="n"/>
      <c r="C99" s="6" t="n"/>
      <c r="D99" s="6" t="n"/>
      <c r="E99" s="7" t="n"/>
      <c r="F99" s="6" t="n"/>
      <c r="G99" s="6" t="n"/>
      <c r="H99" s="6" t="n"/>
    </row>
    <row r="100">
      <c r="A100" s="4" t="n"/>
      <c r="B100" s="4" t="n"/>
      <c r="C100" s="4" t="n"/>
      <c r="D100" s="4" t="n"/>
      <c r="E100" s="5" t="n"/>
      <c r="F100" s="4" t="n"/>
      <c r="G100" s="4" t="n"/>
      <c r="H100" s="4" t="n"/>
    </row>
    <row r="101">
      <c r="A101" s="6" t="n"/>
      <c r="B101" s="6" t="n"/>
      <c r="C101" s="6" t="n"/>
      <c r="D101" s="6" t="n"/>
      <c r="E101" s="7" t="n"/>
      <c r="F101" s="6" t="n"/>
      <c r="G101" s="6" t="n"/>
      <c r="H101" s="6" t="n"/>
    </row>
    <row r="102">
      <c r="A102" s="4" t="n"/>
      <c r="B102" s="4" t="n"/>
      <c r="C102" s="4" t="n"/>
      <c r="D102" s="4" t="n"/>
      <c r="E102" s="5" t="n"/>
      <c r="F102" s="4" t="n"/>
      <c r="G102" s="4" t="n"/>
      <c r="H102" s="4" t="n"/>
    </row>
    <row r="103">
      <c r="A103" s="6" t="n"/>
      <c r="B103" s="6" t="n"/>
      <c r="C103" s="6" t="n"/>
      <c r="D103" s="6" t="n"/>
      <c r="E103" s="7" t="n"/>
      <c r="F103" s="6" t="n"/>
      <c r="G103" s="6" t="n"/>
      <c r="H103" s="6" t="n"/>
    </row>
    <row r="104">
      <c r="A104" s="4" t="n"/>
      <c r="B104" s="4" t="n"/>
      <c r="C104" s="4" t="n"/>
      <c r="D104" s="4" t="n"/>
      <c r="E104" s="5" t="n"/>
      <c r="F104" s="4" t="n"/>
      <c r="G104" s="4" t="n"/>
      <c r="H104" s="4" t="n"/>
    </row>
    <row r="105">
      <c r="A105" s="6" t="n"/>
      <c r="B105" s="6" t="n"/>
      <c r="C105" s="6" t="n"/>
      <c r="D105" s="6" t="n"/>
      <c r="E105" s="7" t="n"/>
      <c r="F105" s="6" t="n"/>
      <c r="G105" s="6" t="n"/>
      <c r="H105" s="6" t="n"/>
    </row>
    <row r="106">
      <c r="A106" s="4" t="n"/>
      <c r="B106" s="4" t="n"/>
      <c r="C106" s="4" t="n"/>
      <c r="D106" s="4" t="n"/>
      <c r="E106" s="5" t="n"/>
      <c r="F106" s="4" t="n"/>
      <c r="G106" s="4" t="n"/>
      <c r="H106" s="4" t="n"/>
    </row>
    <row r="107">
      <c r="A107" s="6" t="n"/>
      <c r="B107" s="6" t="n"/>
      <c r="C107" s="6" t="n"/>
      <c r="D107" s="6" t="n"/>
      <c r="E107" s="7" t="n"/>
      <c r="F107" s="6" t="n"/>
      <c r="G107" s="6" t="n"/>
      <c r="H107" s="6" t="n"/>
    </row>
    <row r="108">
      <c r="A108" s="4" t="n"/>
      <c r="B108" s="4" t="n"/>
      <c r="C108" s="4" t="n"/>
      <c r="D108" s="4" t="n"/>
      <c r="E108" s="5" t="n"/>
      <c r="F108" s="4" t="n"/>
      <c r="G108" s="4" t="n"/>
      <c r="H108" s="4" t="n"/>
    </row>
    <row r="109">
      <c r="A109" s="6" t="n"/>
      <c r="B109" s="6" t="n"/>
      <c r="C109" s="6" t="n"/>
      <c r="D109" s="6" t="n"/>
      <c r="E109" s="7" t="n"/>
      <c r="F109" s="6" t="n"/>
      <c r="G109" s="6" t="n"/>
      <c r="H109" s="6" t="n"/>
    </row>
    <row r="110">
      <c r="A110" s="4" t="n"/>
      <c r="B110" s="4" t="n"/>
      <c r="C110" s="4" t="n"/>
      <c r="D110" s="4" t="n"/>
      <c r="E110" s="5" t="n"/>
      <c r="F110" s="4" t="n"/>
      <c r="G110" s="4" t="n"/>
      <c r="H110" s="4" t="n"/>
    </row>
    <row r="111">
      <c r="A111" s="6" t="n"/>
      <c r="B111" s="6" t="n"/>
      <c r="C111" s="6" t="n"/>
      <c r="D111" s="6" t="n"/>
      <c r="E111" s="7" t="n"/>
      <c r="F111" s="6" t="n"/>
      <c r="G111" s="6" t="n"/>
      <c r="H111" s="6" t="n"/>
    </row>
    <row r="112">
      <c r="A112" s="4" t="n"/>
      <c r="B112" s="4" t="n"/>
      <c r="C112" s="4" t="n"/>
      <c r="D112" s="4" t="n"/>
      <c r="E112" s="5" t="n"/>
      <c r="F112" s="4" t="n"/>
      <c r="G112" s="4" t="n"/>
      <c r="H112" s="4" t="n"/>
    </row>
    <row r="113">
      <c r="A113" s="6" t="n"/>
      <c r="B113" s="6" t="n"/>
      <c r="C113" s="6" t="n"/>
      <c r="D113" s="6" t="n"/>
      <c r="E113" s="7" t="n"/>
      <c r="F113" s="6" t="n"/>
      <c r="G113" s="6" t="n"/>
      <c r="H113" s="6" t="n"/>
    </row>
    <row r="114">
      <c r="A114" s="4" t="n"/>
      <c r="B114" s="4" t="n"/>
      <c r="C114" s="4" t="n"/>
      <c r="D114" s="4" t="n"/>
      <c r="E114" s="5" t="n"/>
      <c r="F114" s="4" t="n"/>
      <c r="G114" s="4" t="n"/>
      <c r="H114" s="4" t="n"/>
    </row>
    <row r="115">
      <c r="A115" s="6" t="n"/>
      <c r="B115" s="6" t="n"/>
      <c r="C115" s="6" t="n"/>
      <c r="D115" s="6" t="n"/>
      <c r="E115" s="7" t="n"/>
      <c r="F115" s="6" t="n"/>
      <c r="G115" s="6" t="n"/>
      <c r="H115" s="6" t="n"/>
    </row>
    <row r="116">
      <c r="A116" s="4" t="n"/>
      <c r="B116" s="4" t="n"/>
      <c r="C116" s="4" t="n"/>
      <c r="D116" s="4" t="n"/>
      <c r="E116" s="5" t="n"/>
      <c r="F116" s="4" t="n"/>
      <c r="G116" s="4" t="n"/>
      <c r="H116" s="4" t="n"/>
    </row>
    <row r="117">
      <c r="A117" s="6" t="n"/>
      <c r="B117" s="6" t="n"/>
      <c r="C117" s="6" t="n"/>
      <c r="D117" s="6" t="n"/>
      <c r="E117" s="7" t="n"/>
      <c r="F117" s="6" t="n"/>
      <c r="G117" s="6" t="n"/>
      <c r="H117" s="6" t="n"/>
    </row>
    <row r="118">
      <c r="A118" s="4" t="n"/>
      <c r="B118" s="4" t="n"/>
      <c r="C118" s="4" t="n"/>
      <c r="D118" s="4" t="n"/>
      <c r="E118" s="5" t="n"/>
      <c r="F118" s="4" t="n"/>
      <c r="G118" s="4" t="n"/>
      <c r="H118" s="4" t="n"/>
    </row>
    <row r="119">
      <c r="A119" s="6" t="n"/>
      <c r="B119" s="6" t="n"/>
      <c r="C119" s="6" t="n"/>
      <c r="D119" s="6" t="n"/>
      <c r="E119" s="7" t="n"/>
      <c r="F119" s="6" t="n"/>
      <c r="G119" s="6" t="n"/>
      <c r="H119" s="6" t="n"/>
    </row>
    <row r="120">
      <c r="A120" s="4" t="n"/>
      <c r="B120" s="4" t="n"/>
      <c r="C120" s="4" t="n"/>
      <c r="D120" s="4" t="n"/>
      <c r="E120" s="5" t="n"/>
      <c r="F120" s="4" t="n"/>
      <c r="G120" s="4" t="n"/>
      <c r="H120" s="4" t="n"/>
    </row>
    <row r="121">
      <c r="A121" s="6" t="n"/>
      <c r="B121" s="6" t="n"/>
      <c r="C121" s="6" t="n"/>
      <c r="D121" s="6" t="n"/>
      <c r="E121" s="7" t="n"/>
      <c r="F121" s="6" t="n"/>
      <c r="G121" s="6" t="n"/>
      <c r="H121" s="6" t="n"/>
    </row>
    <row r="122">
      <c r="A122" s="4" t="n"/>
      <c r="B122" s="4" t="n"/>
      <c r="C122" s="4" t="n"/>
      <c r="D122" s="4" t="n"/>
      <c r="E122" s="5" t="n"/>
      <c r="F122" s="4" t="n"/>
      <c r="G122" s="4" t="n"/>
      <c r="H122" s="4" t="n"/>
    </row>
    <row r="123">
      <c r="A123" s="6" t="n"/>
      <c r="B123" s="6" t="n"/>
      <c r="C123" s="6" t="n"/>
      <c r="D123" s="6" t="n"/>
      <c r="E123" s="7" t="n"/>
      <c r="F123" s="6" t="n"/>
      <c r="G123" s="6" t="n"/>
      <c r="H123" s="6" t="n"/>
    </row>
    <row r="124">
      <c r="A124" s="4" t="n"/>
      <c r="B124" s="4" t="n"/>
      <c r="C124" s="4" t="n"/>
      <c r="D124" s="4" t="n"/>
      <c r="E124" s="5" t="n"/>
      <c r="F124" s="4" t="n"/>
      <c r="G124" s="4" t="n"/>
      <c r="H124" s="4" t="n"/>
    </row>
    <row r="125">
      <c r="A125" s="6" t="n"/>
      <c r="B125" s="6" t="n"/>
      <c r="C125" s="6" t="n"/>
      <c r="D125" s="6" t="n"/>
      <c r="E125" s="7" t="n"/>
      <c r="F125" s="6" t="n"/>
      <c r="G125" s="6" t="n"/>
      <c r="H125" s="6" t="n"/>
    </row>
    <row r="126">
      <c r="A126" s="4" t="n"/>
      <c r="B126" s="4" t="n"/>
      <c r="C126" s="4" t="n"/>
      <c r="D126" s="4" t="n"/>
      <c r="E126" s="5" t="n"/>
      <c r="F126" s="4" t="n"/>
      <c r="G126" s="4" t="n"/>
      <c r="H126" s="4" t="n"/>
    </row>
    <row r="127">
      <c r="A127" s="6" t="n"/>
      <c r="B127" s="6" t="n"/>
      <c r="C127" s="6" t="n"/>
      <c r="D127" s="6" t="n"/>
      <c r="E127" s="7" t="n"/>
      <c r="F127" s="6" t="n"/>
      <c r="G127" s="6" t="n"/>
      <c r="H127" s="6" t="n"/>
    </row>
    <row r="128">
      <c r="A128" s="4" t="n"/>
      <c r="B128" s="4" t="n"/>
      <c r="C128" s="4" t="n"/>
      <c r="D128" s="4" t="n"/>
      <c r="E128" s="5" t="n"/>
      <c r="F128" s="4" t="n"/>
      <c r="G128" s="4" t="n"/>
      <c r="H128" s="4" t="n"/>
    </row>
    <row r="129">
      <c r="A129" s="6" t="n"/>
      <c r="B129" s="6" t="n"/>
      <c r="C129" s="6" t="n"/>
      <c r="D129" s="6" t="n"/>
      <c r="E129" s="7" t="n"/>
      <c r="F129" s="6" t="n"/>
      <c r="G129" s="6" t="n"/>
      <c r="H129" s="6" t="n"/>
    </row>
    <row r="130">
      <c r="A130" s="4" t="n"/>
      <c r="B130" s="4" t="n"/>
      <c r="C130" s="4" t="n"/>
      <c r="D130" s="4" t="n"/>
      <c r="E130" s="5" t="n"/>
      <c r="F130" s="4" t="n"/>
      <c r="G130" s="4" t="n"/>
      <c r="H130" s="4" t="n"/>
    </row>
    <row r="131">
      <c r="A131" s="6" t="n"/>
      <c r="B131" s="6" t="n"/>
      <c r="C131" s="6" t="n"/>
      <c r="D131" s="6" t="n"/>
      <c r="E131" s="7" t="n"/>
      <c r="F131" s="6" t="n"/>
      <c r="G131" s="6" t="n"/>
      <c r="H131" s="6" t="n"/>
    </row>
    <row r="132">
      <c r="A132" s="4" t="n"/>
      <c r="B132" s="4" t="n"/>
      <c r="C132" s="4" t="n"/>
      <c r="D132" s="4" t="n"/>
      <c r="E132" s="5" t="n"/>
      <c r="F132" s="4" t="n"/>
      <c r="G132" s="4" t="n"/>
      <c r="H132" s="4" t="n"/>
    </row>
    <row r="133">
      <c r="A133" s="6" t="n"/>
      <c r="B133" s="6" t="n"/>
      <c r="C133" s="6" t="n"/>
      <c r="D133" s="6" t="n"/>
      <c r="E133" s="7" t="n"/>
      <c r="F133" s="6" t="n"/>
      <c r="G133" s="6" t="n"/>
      <c r="H133" s="6" t="n"/>
    </row>
    <row r="134">
      <c r="A134" s="4" t="n"/>
      <c r="B134" s="4" t="n"/>
      <c r="C134" s="4" t="n"/>
      <c r="D134" s="4" t="n"/>
      <c r="E134" s="5" t="n"/>
      <c r="F134" s="4" t="n"/>
      <c r="G134" s="4" t="n"/>
      <c r="H134" s="4" t="n"/>
    </row>
    <row r="135">
      <c r="A135" s="6" t="n"/>
      <c r="B135" s="6" t="n"/>
      <c r="C135" s="6" t="n"/>
      <c r="D135" s="6" t="n"/>
      <c r="E135" s="7" t="n"/>
      <c r="F135" s="6" t="n"/>
      <c r="G135" s="6" t="n"/>
      <c r="H135" s="6" t="n"/>
    </row>
    <row r="136">
      <c r="A136" s="4" t="n"/>
      <c r="B136" s="4" t="n"/>
      <c r="C136" s="4" t="n"/>
      <c r="D136" s="4" t="n"/>
      <c r="E136" s="5" t="n"/>
      <c r="F136" s="4" t="n"/>
      <c r="G136" s="4" t="n"/>
      <c r="H136" s="4" t="n"/>
    </row>
    <row r="137">
      <c r="A137" s="6" t="n"/>
      <c r="B137" s="6" t="n"/>
      <c r="C137" s="6" t="n"/>
      <c r="D137" s="6" t="n"/>
      <c r="E137" s="7" t="n"/>
      <c r="F137" s="6" t="n"/>
      <c r="G137" s="6" t="n"/>
      <c r="H137" s="6" t="n"/>
    </row>
    <row r="138">
      <c r="A138" s="4" t="n"/>
      <c r="B138" s="4" t="n"/>
      <c r="C138" s="4" t="n"/>
      <c r="D138" s="4" t="n"/>
      <c r="E138" s="5" t="n"/>
      <c r="F138" s="4" t="n"/>
      <c r="G138" s="4" t="n"/>
      <c r="H138" s="4" t="n"/>
    </row>
    <row r="139">
      <c r="A139" s="6" t="n"/>
      <c r="B139" s="6" t="n"/>
      <c r="C139" s="6" t="n"/>
      <c r="D139" s="6" t="n"/>
      <c r="E139" s="7" t="n"/>
      <c r="F139" s="6" t="n"/>
      <c r="G139" s="6" t="n"/>
      <c r="H139" s="6" t="n"/>
    </row>
    <row r="140">
      <c r="A140" s="4" t="n"/>
      <c r="B140" s="4" t="n"/>
      <c r="C140" s="4" t="n"/>
      <c r="D140" s="4" t="n"/>
      <c r="E140" s="5" t="n"/>
      <c r="F140" s="4" t="n"/>
      <c r="G140" s="4" t="n"/>
      <c r="H140" s="4" t="n"/>
    </row>
    <row r="141">
      <c r="A141" s="6" t="n"/>
      <c r="B141" s="6" t="n"/>
      <c r="C141" s="6" t="n"/>
      <c r="D141" s="6" t="n"/>
      <c r="E141" s="7" t="n"/>
      <c r="F141" s="6" t="n"/>
      <c r="G141" s="6" t="n"/>
      <c r="H141" s="6" t="n"/>
    </row>
    <row r="142">
      <c r="A142" s="4" t="n"/>
      <c r="B142" s="4" t="n"/>
      <c r="C142" s="4" t="n"/>
      <c r="D142" s="4" t="n"/>
      <c r="E142" s="5" t="n"/>
      <c r="F142" s="4" t="n"/>
      <c r="G142" s="4" t="n"/>
      <c r="H142" s="4" t="n"/>
    </row>
    <row r="143">
      <c r="A143" s="6" t="n"/>
      <c r="B143" s="6" t="n"/>
      <c r="C143" s="6" t="n"/>
      <c r="D143" s="6" t="n"/>
      <c r="E143" s="7" t="n"/>
      <c r="F143" s="6" t="n"/>
      <c r="G143" s="6" t="n"/>
      <c r="H143" s="6" t="n"/>
    </row>
    <row r="144">
      <c r="A144" s="4" t="n"/>
      <c r="B144" s="4" t="n"/>
      <c r="C144" s="4" t="n"/>
      <c r="D144" s="4" t="n"/>
      <c r="E144" s="5" t="n"/>
      <c r="F144" s="4" t="n"/>
      <c r="G144" s="4" t="n"/>
      <c r="H144" s="4" t="n"/>
    </row>
    <row r="145">
      <c r="A145" s="6" t="n"/>
      <c r="B145" s="6" t="n"/>
      <c r="C145" s="6" t="n"/>
      <c r="D145" s="6" t="n"/>
      <c r="E145" s="7" t="n"/>
      <c r="F145" s="6" t="n"/>
      <c r="G145" s="6" t="n"/>
      <c r="H145" s="6" t="n"/>
    </row>
    <row r="146">
      <c r="A146" s="4" t="n"/>
      <c r="B146" s="4" t="n"/>
      <c r="C146" s="4" t="n"/>
      <c r="D146" s="4" t="n"/>
      <c r="E146" s="5" t="n"/>
      <c r="F146" s="4" t="n"/>
      <c r="G146" s="4" t="n"/>
      <c r="H146" s="4" t="n"/>
    </row>
    <row r="147">
      <c r="A147" s="6" t="n"/>
      <c r="B147" s="6" t="n"/>
      <c r="C147" s="6" t="n"/>
      <c r="D147" s="6" t="n"/>
      <c r="E147" s="7" t="n"/>
      <c r="F147" s="6" t="n"/>
      <c r="G147" s="6" t="n"/>
      <c r="H147" s="6" t="n"/>
    </row>
    <row r="148">
      <c r="A148" s="4" t="n"/>
      <c r="B148" s="4" t="n"/>
      <c r="C148" s="4" t="n"/>
      <c r="D148" s="4" t="n"/>
      <c r="E148" s="5" t="n"/>
      <c r="F148" s="4" t="n"/>
      <c r="G148" s="4" t="n"/>
      <c r="H148" s="4" t="n"/>
    </row>
    <row r="149">
      <c r="A149" s="6" t="n"/>
      <c r="B149" s="6" t="n"/>
      <c r="C149" s="6" t="n"/>
      <c r="D149" s="6" t="n"/>
      <c r="E149" s="7" t="n"/>
      <c r="F149" s="6" t="n"/>
      <c r="G149" s="6" t="n"/>
      <c r="H149" s="6" t="n"/>
    </row>
    <row r="150">
      <c r="A150" s="4" t="n"/>
      <c r="B150" s="4" t="n"/>
      <c r="C150" s="4" t="n"/>
      <c r="D150" s="4" t="n"/>
      <c r="E150" s="5" t="n"/>
      <c r="F150" s="4" t="n"/>
      <c r="G150" s="4" t="n"/>
      <c r="H150" s="4" t="n"/>
    </row>
    <row r="151">
      <c r="A151" s="6" t="n"/>
      <c r="B151" s="6" t="n"/>
      <c r="C151" s="6" t="n"/>
      <c r="D151" s="6" t="n"/>
      <c r="E151" s="7" t="n"/>
      <c r="F151" s="6" t="n"/>
      <c r="G151" s="6" t="n"/>
      <c r="H151" s="6" t="n"/>
    </row>
    <row r="152">
      <c r="A152" s="4" t="n"/>
      <c r="B152" s="4" t="n"/>
      <c r="C152" s="4" t="n"/>
      <c r="D152" s="4" t="n"/>
      <c r="E152" s="5" t="n"/>
      <c r="F152" s="4" t="n"/>
      <c r="G152" s="4" t="n"/>
      <c r="H152" s="4" t="n"/>
    </row>
    <row r="153">
      <c r="A153" s="6" t="n"/>
      <c r="B153" s="6" t="n"/>
      <c r="C153" s="6" t="n"/>
      <c r="D153" s="6" t="n"/>
      <c r="E153" s="7" t="n"/>
      <c r="F153" s="6" t="n"/>
      <c r="G153" s="6" t="n"/>
      <c r="H153" s="6" t="n"/>
    </row>
    <row r="154">
      <c r="A154" s="4" t="n"/>
      <c r="B154" s="4" t="n"/>
      <c r="C154" s="4" t="n"/>
      <c r="D154" s="4" t="n"/>
      <c r="E154" s="5" t="n"/>
      <c r="F154" s="4" t="n"/>
      <c r="G154" s="4" t="n"/>
      <c r="H154" s="4" t="n"/>
    </row>
    <row r="155">
      <c r="A155" s="6" t="n"/>
      <c r="B155" s="6" t="n"/>
      <c r="C155" s="6" t="n"/>
      <c r="D155" s="6" t="n"/>
      <c r="E155" s="7" t="n"/>
      <c r="F155" s="6" t="n"/>
      <c r="G155" s="6" t="n"/>
      <c r="H155" s="6" t="n"/>
    </row>
    <row r="156">
      <c r="A156" s="4" t="n"/>
      <c r="B156" s="4" t="n"/>
      <c r="C156" s="4" t="n"/>
      <c r="D156" s="4" t="n"/>
      <c r="E156" s="5" t="n"/>
      <c r="F156" s="4" t="n"/>
      <c r="G156" s="4" t="n"/>
      <c r="H156" s="4" t="n"/>
    </row>
    <row r="157">
      <c r="A157" s="6" t="n"/>
      <c r="B157" s="6" t="n"/>
      <c r="C157" s="6" t="n"/>
      <c r="D157" s="6" t="n"/>
      <c r="E157" s="7" t="n"/>
      <c r="F157" s="6" t="n"/>
      <c r="G157" s="6" t="n"/>
      <c r="H157" s="6" t="n"/>
    </row>
    <row r="158">
      <c r="A158" s="4" t="n"/>
      <c r="B158" s="4" t="n"/>
      <c r="C158" s="4" t="n"/>
      <c r="D158" s="4" t="n"/>
      <c r="E158" s="5" t="n"/>
      <c r="F158" s="4" t="n"/>
      <c r="G158" s="4" t="n"/>
      <c r="H158" s="4" t="n"/>
    </row>
    <row r="159">
      <c r="A159" s="6" t="n"/>
      <c r="B159" s="6" t="n"/>
      <c r="C159" s="6" t="n"/>
      <c r="D159" s="6" t="n"/>
      <c r="E159" s="7" t="n"/>
      <c r="F159" s="6" t="n"/>
      <c r="G159" s="6" t="n"/>
      <c r="H159" s="6" t="n"/>
    </row>
    <row r="160">
      <c r="A160" s="4" t="n"/>
      <c r="B160" s="4" t="n"/>
      <c r="C160" s="4" t="n"/>
      <c r="D160" s="4" t="n"/>
      <c r="E160" s="5" t="n"/>
      <c r="F160" s="4" t="n"/>
      <c r="G160" s="4" t="n"/>
      <c r="H160" s="4" t="n"/>
    </row>
    <row r="161">
      <c r="A161" s="6" t="n"/>
      <c r="B161" s="6" t="n"/>
      <c r="C161" s="6" t="n"/>
      <c r="D161" s="6" t="n"/>
      <c r="E161" s="7" t="n"/>
      <c r="F161" s="6" t="n"/>
      <c r="G161" s="6" t="n"/>
      <c r="H161" s="6" t="n"/>
    </row>
    <row r="162">
      <c r="A162" s="4" t="n"/>
      <c r="B162" s="4" t="n"/>
      <c r="C162" s="4" t="n"/>
      <c r="D162" s="4" t="n"/>
      <c r="E162" s="5" t="n"/>
      <c r="F162" s="4" t="n"/>
      <c r="G162" s="4" t="n"/>
      <c r="H162" s="4" t="n"/>
    </row>
    <row r="163">
      <c r="A163" s="6" t="n"/>
      <c r="B163" s="6" t="n"/>
      <c r="C163" s="6" t="n"/>
      <c r="D163" s="6" t="n"/>
      <c r="E163" s="7" t="n"/>
      <c r="F163" s="6" t="n"/>
      <c r="G163" s="6" t="n"/>
      <c r="H163" s="6" t="n"/>
    </row>
    <row r="164">
      <c r="A164" s="4" t="n"/>
      <c r="B164" s="4" t="n"/>
      <c r="C164" s="4" t="n"/>
      <c r="D164" s="4" t="n"/>
      <c r="E164" s="5" t="n"/>
      <c r="F164" s="4" t="n"/>
      <c r="G164" s="4" t="n"/>
      <c r="H164" s="4" t="n"/>
    </row>
    <row r="165">
      <c r="A165" s="6" t="n"/>
      <c r="B165" s="6" t="n"/>
      <c r="C165" s="6" t="n"/>
      <c r="D165" s="6" t="n"/>
      <c r="E165" s="7" t="n"/>
      <c r="F165" s="6" t="n"/>
      <c r="G165" s="6" t="n"/>
      <c r="H165" s="6" t="n"/>
    </row>
    <row r="166">
      <c r="A166" s="4" t="n"/>
      <c r="B166" s="4" t="n"/>
      <c r="C166" s="4" t="n"/>
      <c r="D166" s="4" t="n"/>
      <c r="E166" s="5" t="n"/>
      <c r="F166" s="4" t="n"/>
      <c r="G166" s="4" t="n"/>
      <c r="H166" s="4" t="n"/>
    </row>
    <row r="167">
      <c r="A167" s="6" t="n"/>
      <c r="B167" s="6" t="n"/>
      <c r="C167" s="6" t="n"/>
      <c r="D167" s="6" t="n"/>
      <c r="E167" s="7" t="n"/>
      <c r="F167" s="6" t="n"/>
      <c r="G167" s="6" t="n"/>
      <c r="H167" s="6" t="n"/>
    </row>
    <row r="168">
      <c r="A168" s="4" t="n"/>
      <c r="B168" s="4" t="n"/>
      <c r="C168" s="4" t="n"/>
      <c r="D168" s="4" t="n"/>
      <c r="E168" s="5" t="n"/>
      <c r="F168" s="4" t="n"/>
      <c r="G168" s="4" t="n"/>
      <c r="H168" s="4" t="n"/>
    </row>
    <row r="169">
      <c r="A169" s="6" t="n"/>
      <c r="B169" s="6" t="n"/>
      <c r="C169" s="6" t="n"/>
      <c r="D169" s="6" t="n"/>
      <c r="E169" s="7" t="n"/>
      <c r="F169" s="6" t="n"/>
      <c r="G169" s="6" t="n"/>
      <c r="H169" s="6" t="n"/>
    </row>
    <row r="170">
      <c r="A170" s="4" t="n"/>
      <c r="B170" s="4" t="n"/>
      <c r="C170" s="4" t="n"/>
      <c r="D170" s="4" t="n"/>
      <c r="E170" s="5" t="n"/>
      <c r="F170" s="4" t="n"/>
      <c r="G170" s="4" t="n"/>
      <c r="H170" s="4" t="n"/>
    </row>
    <row r="171">
      <c r="A171" s="6" t="n"/>
      <c r="B171" s="6" t="n"/>
      <c r="C171" s="6" t="n"/>
      <c r="D171" s="6" t="n"/>
      <c r="E171" s="7" t="n"/>
      <c r="F171" s="6" t="n"/>
      <c r="G171" s="6" t="n"/>
      <c r="H171" s="6" t="n"/>
    </row>
    <row r="172">
      <c r="A172" s="4" t="n"/>
      <c r="B172" s="4" t="n"/>
      <c r="C172" s="4" t="n"/>
      <c r="D172" s="4" t="n"/>
      <c r="E172" s="5" t="n"/>
      <c r="F172" s="4" t="n"/>
      <c r="G172" s="4" t="n"/>
      <c r="H172" s="4" t="n"/>
    </row>
    <row r="173">
      <c r="A173" s="6" t="n"/>
      <c r="B173" s="6" t="n"/>
      <c r="C173" s="6" t="n"/>
      <c r="D173" s="6" t="n"/>
      <c r="E173" s="7" t="n"/>
      <c r="F173" s="6" t="n"/>
      <c r="G173" s="6" t="n"/>
      <c r="H173" s="6" t="n"/>
    </row>
    <row r="174">
      <c r="A174" s="4" t="n"/>
      <c r="B174" s="4" t="n"/>
      <c r="C174" s="4" t="n"/>
      <c r="D174" s="4" t="n"/>
      <c r="E174" s="5" t="n"/>
      <c r="F174" s="4" t="n"/>
      <c r="G174" s="4" t="n"/>
      <c r="H174" s="4" t="n"/>
    </row>
    <row r="175">
      <c r="A175" s="6" t="n"/>
      <c r="B175" s="6" t="n"/>
      <c r="C175" s="6" t="n"/>
      <c r="D175" s="6" t="n"/>
      <c r="E175" s="7" t="n"/>
      <c r="F175" s="6" t="n"/>
      <c r="G175" s="6" t="n"/>
      <c r="H175" s="6" t="n"/>
    </row>
    <row r="176">
      <c r="A176" s="4" t="n"/>
      <c r="B176" s="4" t="n"/>
      <c r="C176" s="4" t="n"/>
      <c r="D176" s="4" t="n"/>
      <c r="E176" s="5" t="n"/>
      <c r="F176" s="4" t="n"/>
      <c r="G176" s="4" t="n"/>
      <c r="H176" s="4" t="n"/>
    </row>
    <row r="177">
      <c r="A177" s="6" t="n"/>
      <c r="B177" s="6" t="n"/>
      <c r="C177" s="6" t="n"/>
      <c r="D177" s="6" t="n"/>
      <c r="E177" s="7" t="n"/>
      <c r="F177" s="6" t="n"/>
      <c r="G177" s="6" t="n"/>
      <c r="H177" s="6" t="n"/>
    </row>
    <row r="178">
      <c r="A178" s="4" t="n"/>
      <c r="B178" s="4" t="n"/>
      <c r="C178" s="4" t="n"/>
      <c r="D178" s="4" t="n"/>
      <c r="E178" s="5" t="n"/>
      <c r="F178" s="4" t="n"/>
      <c r="G178" s="4" t="n"/>
      <c r="H178" s="4" t="n"/>
    </row>
    <row r="179">
      <c r="A179" s="6" t="n"/>
      <c r="B179" s="6" t="n"/>
      <c r="C179" s="6" t="n"/>
      <c r="D179" s="6" t="n"/>
      <c r="E179" s="7" t="n"/>
      <c r="F179" s="6" t="n"/>
      <c r="G179" s="6" t="n"/>
      <c r="H179" s="6" t="n"/>
    </row>
    <row r="180">
      <c r="A180" s="4" t="n"/>
      <c r="B180" s="4" t="n"/>
      <c r="C180" s="4" t="n"/>
      <c r="D180" s="4" t="n"/>
      <c r="E180" s="5" t="n"/>
      <c r="F180" s="4" t="n"/>
      <c r="G180" s="4" t="n"/>
      <c r="H180" s="4" t="n"/>
    </row>
    <row r="181">
      <c r="A181" s="6" t="n"/>
      <c r="B181" s="6" t="n"/>
      <c r="C181" s="6" t="n"/>
      <c r="D181" s="6" t="n"/>
      <c r="E181" s="7" t="n"/>
      <c r="F181" s="6" t="n"/>
      <c r="G181" s="6" t="n"/>
      <c r="H181" s="6" t="n"/>
    </row>
    <row r="182">
      <c r="A182" s="4" t="n"/>
      <c r="B182" s="4" t="n"/>
      <c r="C182" s="4" t="n"/>
      <c r="D182" s="4" t="n"/>
      <c r="E182" s="5" t="n"/>
      <c r="F182" s="4" t="n"/>
      <c r="G182" s="4" t="n"/>
      <c r="H182" s="4" t="n"/>
    </row>
    <row r="183">
      <c r="A183" s="6" t="n"/>
      <c r="B183" s="6" t="n"/>
      <c r="C183" s="6" t="n"/>
      <c r="D183" s="6" t="n"/>
      <c r="E183" s="7" t="n"/>
      <c r="F183" s="6" t="n"/>
      <c r="G183" s="6" t="n"/>
      <c r="H183" s="6" t="n"/>
    </row>
    <row r="184">
      <c r="A184" s="4" t="n"/>
      <c r="B184" s="4" t="n"/>
      <c r="C184" s="4" t="n"/>
      <c r="D184" s="4" t="n"/>
      <c r="E184" s="5" t="n"/>
      <c r="F184" s="4" t="n"/>
      <c r="G184" s="4" t="n"/>
      <c r="H184" s="4" t="n"/>
    </row>
    <row r="185">
      <c r="A185" s="6" t="n"/>
      <c r="B185" s="6" t="n"/>
      <c r="C185" s="6" t="n"/>
      <c r="D185" s="6" t="n"/>
      <c r="E185" s="7" t="n"/>
      <c r="F185" s="6" t="n"/>
      <c r="G185" s="6" t="n"/>
      <c r="H185" s="6" t="n"/>
    </row>
    <row r="186">
      <c r="A186" s="4" t="n"/>
      <c r="B186" s="4" t="n"/>
      <c r="C186" s="4" t="n"/>
      <c r="D186" s="4" t="n"/>
      <c r="E186" s="5" t="n"/>
      <c r="F186" s="4" t="n"/>
      <c r="G186" s="4" t="n"/>
      <c r="H186" s="4" t="n"/>
    </row>
    <row r="187">
      <c r="A187" s="6" t="n"/>
      <c r="B187" s="6" t="n"/>
      <c r="C187" s="6" t="n"/>
      <c r="D187" s="6" t="n"/>
      <c r="E187" s="7" t="n"/>
      <c r="F187" s="6" t="n"/>
      <c r="G187" s="6" t="n"/>
      <c r="H187" s="6" t="n"/>
    </row>
    <row r="188">
      <c r="A188" s="4" t="n"/>
      <c r="B188" s="4" t="n"/>
      <c r="C188" s="4" t="n"/>
      <c r="D188" s="4" t="n"/>
      <c r="E188" s="5" t="n"/>
      <c r="F188" s="4" t="n"/>
      <c r="G188" s="4" t="n"/>
      <c r="H188" s="4" t="n"/>
    </row>
    <row r="189">
      <c r="A189" s="6" t="n"/>
      <c r="B189" s="6" t="n"/>
      <c r="C189" s="6" t="n"/>
      <c r="D189" s="6" t="n"/>
      <c r="E189" s="7" t="n"/>
      <c r="F189" s="6" t="n"/>
      <c r="G189" s="6" t="n"/>
      <c r="H189" s="6" t="n"/>
    </row>
    <row r="190">
      <c r="A190" s="4" t="n"/>
      <c r="B190" s="4" t="n"/>
      <c r="C190" s="4" t="n"/>
      <c r="D190" s="4" t="n"/>
      <c r="E190" s="5" t="n"/>
      <c r="F190" s="4" t="n"/>
      <c r="G190" s="4" t="n"/>
      <c r="H190" s="4" t="n"/>
    </row>
    <row r="191">
      <c r="A191" s="6" t="n"/>
      <c r="B191" s="6" t="n"/>
      <c r="C191" s="6" t="n"/>
      <c r="D191" s="6" t="n"/>
      <c r="E191" s="7" t="n"/>
      <c r="F191" s="6" t="n"/>
      <c r="G191" s="6" t="n"/>
      <c r="H191" s="6" t="n"/>
    </row>
    <row r="192">
      <c r="A192" s="4" t="n"/>
      <c r="B192" s="4" t="n"/>
      <c r="C192" s="4" t="n"/>
      <c r="D192" s="4" t="n"/>
      <c r="E192" s="5" t="n"/>
      <c r="F192" s="4" t="n"/>
      <c r="G192" s="4" t="n"/>
      <c r="H192" s="4" t="n"/>
    </row>
    <row r="193">
      <c r="A193" s="6" t="n"/>
      <c r="B193" s="6" t="n"/>
      <c r="C193" s="6" t="n"/>
      <c r="D193" s="6" t="n"/>
      <c r="E193" s="7" t="n"/>
      <c r="F193" s="6" t="n"/>
      <c r="G193" s="6" t="n"/>
      <c r="H193" s="6" t="n"/>
    </row>
    <row r="194">
      <c r="A194" s="4" t="n"/>
      <c r="B194" s="4" t="n"/>
      <c r="C194" s="4" t="n"/>
      <c r="D194" s="4" t="n"/>
      <c r="E194" s="5" t="n"/>
      <c r="F194" s="4" t="n"/>
      <c r="G194" s="4" t="n"/>
      <c r="H194" s="4" t="n"/>
    </row>
    <row r="195">
      <c r="A195" s="6" t="n"/>
      <c r="B195" s="6" t="n"/>
      <c r="C195" s="6" t="n"/>
      <c r="D195" s="6" t="n"/>
      <c r="E195" s="7" t="n"/>
      <c r="F195" s="6" t="n"/>
      <c r="G195" s="6" t="n"/>
      <c r="H195" s="6" t="n"/>
    </row>
    <row r="196">
      <c r="A196" s="4" t="n"/>
      <c r="B196" s="4" t="n"/>
      <c r="C196" s="4" t="n"/>
      <c r="D196" s="4" t="n"/>
      <c r="E196" s="5" t="n"/>
      <c r="F196" s="4" t="n"/>
      <c r="G196" s="4" t="n"/>
      <c r="H196" s="4" t="n"/>
    </row>
    <row r="197">
      <c r="A197" s="6" t="n"/>
      <c r="B197" s="6" t="n"/>
      <c r="C197" s="6" t="n"/>
      <c r="D197" s="6" t="n"/>
      <c r="E197" s="7" t="n"/>
      <c r="F197" s="6" t="n"/>
      <c r="G197" s="6" t="n"/>
      <c r="H197" s="6" t="n"/>
    </row>
    <row r="198">
      <c r="A198" s="4" t="n"/>
      <c r="B198" s="4" t="n"/>
      <c r="C198" s="4" t="n"/>
      <c r="D198" s="4" t="n"/>
      <c r="E198" s="5" t="n"/>
      <c r="F198" s="4" t="n"/>
      <c r="G198" s="4" t="n"/>
      <c r="H198" s="4" t="n"/>
    </row>
    <row r="199">
      <c r="A199" s="6" t="n"/>
      <c r="B199" s="6" t="n"/>
      <c r="C199" s="6" t="n"/>
      <c r="D199" s="6" t="n"/>
      <c r="E199" s="7" t="n"/>
      <c r="F199" s="6" t="n"/>
      <c r="G199" s="6" t="n"/>
      <c r="H199" s="6" t="n"/>
    </row>
    <row r="200">
      <c r="A200" s="4" t="n"/>
      <c r="B200" s="4" t="n"/>
      <c r="C200" s="4" t="n"/>
      <c r="D200" s="4" t="n"/>
      <c r="E200" s="5" t="n"/>
      <c r="F200" s="4" t="n"/>
      <c r="G200" s="4" t="n"/>
      <c r="H200" s="4" t="n"/>
    </row>
    <row r="201">
      <c r="A201" s="6" t="n"/>
      <c r="B201" s="6" t="n"/>
      <c r="C201" s="6" t="n"/>
      <c r="D201" s="6" t="n"/>
      <c r="E201" s="7" t="n"/>
      <c r="F201" s="6" t="n"/>
      <c r="G201" s="6" t="n"/>
      <c r="H201" s="6" t="n"/>
    </row>
    <row r="202">
      <c r="A202" s="4" t="n"/>
      <c r="B202" s="4" t="n"/>
      <c r="C202" s="4" t="n"/>
      <c r="D202" s="4" t="n"/>
      <c r="E202" s="5" t="n"/>
      <c r="F202" s="4" t="n"/>
      <c r="G202" s="4" t="n"/>
      <c r="H202" s="4" t="n"/>
    </row>
    <row r="203">
      <c r="A203" s="6" t="n"/>
      <c r="B203" s="6" t="n"/>
      <c r="C203" s="6" t="n"/>
      <c r="D203" s="6" t="n"/>
      <c r="E203" s="7" t="n"/>
      <c r="F203" s="6" t="n"/>
      <c r="G203" s="6" t="n"/>
      <c r="H203" s="6" t="n"/>
    </row>
    <row r="204">
      <c r="A204" s="4" t="n"/>
      <c r="B204" s="4" t="n"/>
      <c r="C204" s="4" t="n"/>
      <c r="D204" s="4" t="n"/>
      <c r="E204" s="5" t="n"/>
      <c r="F204" s="4" t="n"/>
      <c r="G204" s="4" t="n"/>
      <c r="H204" s="4" t="n"/>
    </row>
    <row r="205">
      <c r="A205" s="6" t="n"/>
      <c r="B205" s="6" t="n"/>
      <c r="C205" s="6" t="n"/>
      <c r="D205" s="6" t="n"/>
      <c r="E205" s="7" t="n"/>
      <c r="F205" s="6" t="n"/>
      <c r="G205" s="6" t="n"/>
      <c r="H205" s="6" t="n"/>
    </row>
  </sheetData>
  <mergeCells count="31">
    <mergeCell ref="P21:R21"/>
    <mergeCell ref="L7:M7"/>
    <mergeCell ref="P8:R8"/>
    <mergeCell ref="P11:R11"/>
    <mergeCell ref="J3:M3"/>
    <mergeCell ref="P17:R17"/>
    <mergeCell ref="P23:R23"/>
    <mergeCell ref="A1:H1"/>
    <mergeCell ref="P16:R16"/>
    <mergeCell ref="P7:R7"/>
    <mergeCell ref="L12:M12"/>
    <mergeCell ref="O3:R3"/>
    <mergeCell ref="P13:R13"/>
    <mergeCell ref="O19:R19"/>
    <mergeCell ref="L5:M5"/>
    <mergeCell ref="L8:M8"/>
    <mergeCell ref="P12:R12"/>
    <mergeCell ref="A3:H3"/>
    <mergeCell ref="P15:R15"/>
    <mergeCell ref="P24:R24"/>
    <mergeCell ref="P5:R5"/>
    <mergeCell ref="L10:M10"/>
    <mergeCell ref="P14:R14"/>
    <mergeCell ref="L9:M9"/>
    <mergeCell ref="L6:M6"/>
    <mergeCell ref="P10:R10"/>
    <mergeCell ref="P22:R22"/>
    <mergeCell ref="L11:M11"/>
    <mergeCell ref="P9:R9"/>
    <mergeCell ref="J16:M16"/>
    <mergeCell ref="P6:R6"/>
  </mergeCells>
  <dataValidations count="3">
    <dataValidation sqref="G6:G205" showDropDown="1" showInputMessage="0" showErrorMessage="0" allowBlank="0" type="list">
      <formula1>"Essential,Important,Discretionary"</formula1>
    </dataValidation>
    <dataValidation sqref="J19:J28" showDropDown="1" showInputMessage="0" showErrorMessage="0" allowBlank="0" type="list">
      <formula1>"Regular Salary,Freelance Work,Side Job,Business Income,Investment Returns,Rental Income,Commission,Bonus,Gift,Tax Refund,Reimbursement,Other Income"</formula1>
    </dataValidation>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showDropDown="1" showInputMessage="0" showErrorMessage="1" allowBlank="1" errorTitle="Invalid Category" error="Please select a category from the dropdown list" type="list">
      <formula1>"Rent &amp; Utilities,Food &amp; Groceries,Transport,SACCO Savings,Emergency Fund,Healthcare,Education,Entertainment,Shopping,Personal Care,Insurance,Miscellaneous"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C16" sqref="C16"/>
    </sheetView>
  </sheetViews>
  <sheetFormatPr baseColWidth="8" defaultRowHeight="14.4"/>
  <cols>
    <col width="25" customWidth="1" style="28" min="1" max="1"/>
    <col width="15" customWidth="1" style="28" min="2" max="2"/>
    <col width="12" customWidth="1" style="28" min="3" max="3"/>
    <col width="15" customWidth="1" style="28" min="4" max="4"/>
    <col width="25" customWidth="1" style="28" min="5" max="5"/>
  </cols>
  <sheetData>
    <row r="1" ht="45" customHeight="1" s="28">
      <c r="A1" s="34" t="inlineStr">
        <is>
          <t>MONTHLY BUDGET CONFIGURATION</t>
        </is>
      </c>
    </row>
    <row r="3" ht="21" customHeight="1" s="28">
      <c r="A3" s="29" t="inlineStr">
        <is>
          <t>EXPECTED INCOME</t>
        </is>
      </c>
    </row>
    <row r="5">
      <c r="A5" s="12" t="inlineStr">
        <is>
          <t>Income Source</t>
        </is>
      </c>
      <c r="B5" s="12" t="inlineStr">
        <is>
          <t>Monthly Amount</t>
        </is>
      </c>
      <c r="C5" s="12" t="inlineStr">
        <is>
          <t>Frequency</t>
        </is>
      </c>
      <c r="D5" s="12" t="inlineStr">
        <is>
          <t>Annual Total</t>
        </is>
      </c>
      <c r="E5" s="12" t="inlineStr">
        <is>
          <t>Notes</t>
        </is>
      </c>
    </row>
    <row r="6">
      <c r="A6" s="6" t="inlineStr">
        <is>
          <t>Regular Salary</t>
        </is>
      </c>
      <c r="B6" s="7" t="n">
        <v>50000</v>
      </c>
      <c r="C6" s="6" t="inlineStr">
        <is>
          <t>Monthly</t>
        </is>
      </c>
      <c r="D6" s="7">
        <f>B6*12</f>
        <v/>
      </c>
      <c r="E6" s="6" t="inlineStr">
        <is>
          <t>Primary income</t>
        </is>
      </c>
    </row>
    <row r="7">
      <c r="A7" s="6" t="inlineStr">
        <is>
          <t>Side Jobs/Freelance</t>
        </is>
      </c>
      <c r="B7" s="7" t="n">
        <v>0</v>
      </c>
      <c r="C7" s="6" t="inlineStr">
        <is>
          <t>Variable</t>
        </is>
      </c>
      <c r="D7" s="7">
        <f>B7*12</f>
        <v/>
      </c>
      <c r="E7" s="6" t="inlineStr">
        <is>
          <t>Additional income</t>
        </is>
      </c>
    </row>
    <row r="8">
      <c r="A8" s="6" t="inlineStr">
        <is>
          <t>Other Income</t>
        </is>
      </c>
      <c r="B8" s="7" t="n">
        <v>0</v>
      </c>
      <c r="C8" s="6" t="inlineStr">
        <is>
          <t>Variable</t>
        </is>
      </c>
      <c r="D8" s="7">
        <f>B8*12</f>
        <v/>
      </c>
      <c r="E8" s="6" t="inlineStr">
        <is>
          <t>Miscellaneous</t>
        </is>
      </c>
    </row>
    <row r="11" ht="21" customHeight="1" s="28">
      <c r="A11" s="35" t="inlineStr">
        <is>
          <t>EXPENSE BUDGET</t>
        </is>
      </c>
    </row>
    <row r="13">
      <c r="A13" s="13" t="inlineStr">
        <is>
          <t>Expense Category</t>
        </is>
      </c>
      <c r="B13" s="13" t="inlineStr">
        <is>
          <t>Monthly Budget</t>
        </is>
      </c>
      <c r="C13" s="13" t="inlineStr">
        <is>
          <t>Priority</t>
        </is>
      </c>
      <c r="D13" s="13" t="inlineStr">
        <is>
          <t>Alert Threshold</t>
        </is>
      </c>
      <c r="E13" s="13" t="inlineStr">
        <is>
          <t>Notes</t>
        </is>
      </c>
    </row>
    <row r="14">
      <c r="A14" s="6" t="inlineStr">
        <is>
          <t>Rent &amp; Utilities</t>
        </is>
      </c>
      <c r="B14" s="7" t="n">
        <v>9000</v>
      </c>
      <c r="C14" s="6" t="inlineStr">
        <is>
          <t>Essential</t>
        </is>
      </c>
      <c r="D14" s="6" t="inlineStr">
        <is>
          <t>100%</t>
        </is>
      </c>
      <c r="E14" s="6" t="inlineStr">
        <is>
          <t>Includes Internet</t>
        </is>
      </c>
    </row>
    <row r="15">
      <c r="A15" s="6" t="inlineStr">
        <is>
          <t>Food &amp; Groceries</t>
        </is>
      </c>
      <c r="B15" s="7" t="n">
        <v>9000</v>
      </c>
      <c r="C15" s="6" t="inlineStr">
        <is>
          <t>Essential</t>
        </is>
      </c>
      <c r="D15" s="6" t="inlineStr">
        <is>
          <t>110%</t>
        </is>
      </c>
      <c r="E15" s="6" t="inlineStr">
        <is>
          <t>Monthly groceries</t>
        </is>
      </c>
    </row>
    <row r="16">
      <c r="A16" s="6" t="inlineStr">
        <is>
          <t>Transport</t>
        </is>
      </c>
      <c r="B16" s="7" t="n">
        <v>9000</v>
      </c>
      <c r="C16" s="6" t="inlineStr">
        <is>
          <t>Essential</t>
        </is>
      </c>
      <c r="D16" s="6" t="inlineStr">
        <is>
          <t>110%</t>
        </is>
      </c>
      <c r="E16" s="6" t="inlineStr">
        <is>
          <t>Fuel &amp; maintenance</t>
        </is>
      </c>
    </row>
    <row r="17">
      <c r="A17" s="14" t="inlineStr">
        <is>
          <t>SACCO Savings</t>
        </is>
      </c>
      <c r="B17" s="7" t="n">
        <v>10000</v>
      </c>
      <c r="C17" s="15" t="inlineStr">
        <is>
          <t>HIGH PRIORITY</t>
        </is>
      </c>
      <c r="D17" s="6" t="inlineStr">
        <is>
          <t>90%</t>
        </is>
      </c>
      <c r="E17" s="6" t="inlineStr">
        <is>
          <t>Must meet target</t>
        </is>
      </c>
    </row>
    <row r="18">
      <c r="A18" s="14" t="inlineStr">
        <is>
          <t>Emergency Fund</t>
        </is>
      </c>
      <c r="B18" s="7" t="n">
        <v>3000</v>
      </c>
      <c r="C18" s="15" t="inlineStr">
        <is>
          <t>HIGH PRIORITY</t>
        </is>
      </c>
      <c r="D18" s="6" t="inlineStr">
        <is>
          <t>90%</t>
        </is>
      </c>
      <c r="E18" s="6" t="inlineStr">
        <is>
          <t>Must meet target</t>
        </is>
      </c>
    </row>
    <row r="19">
      <c r="A19" s="6" t="inlineStr">
        <is>
          <t>Healthcare</t>
        </is>
      </c>
      <c r="B19" s="7" t="n">
        <v>2000</v>
      </c>
      <c r="C19" s="6" t="inlineStr">
        <is>
          <t>Important</t>
        </is>
      </c>
      <c r="D19" s="6" t="inlineStr">
        <is>
          <t>120%</t>
        </is>
      </c>
      <c r="E19" s="6" t="inlineStr">
        <is>
          <t>Medical expenses</t>
        </is>
      </c>
    </row>
    <row r="20">
      <c r="A20" s="6" t="inlineStr">
        <is>
          <t>Education</t>
        </is>
      </c>
      <c r="B20" s="7" t="n">
        <v>2000</v>
      </c>
      <c r="C20" s="6" t="inlineStr">
        <is>
          <t>Important</t>
        </is>
      </c>
      <c r="D20" s="6" t="inlineStr">
        <is>
          <t>120%</t>
        </is>
      </c>
      <c r="E20" s="6" t="inlineStr">
        <is>
          <t>Courses &amp; books</t>
        </is>
      </c>
    </row>
    <row r="21">
      <c r="A21" s="6" t="inlineStr">
        <is>
          <t>Entertainment</t>
        </is>
      </c>
      <c r="B21" s="7" t="n">
        <v>2000</v>
      </c>
      <c r="C21" s="6" t="inlineStr">
        <is>
          <t>Discretionary</t>
        </is>
      </c>
      <c r="D21" s="6" t="inlineStr">
        <is>
          <t>150%</t>
        </is>
      </c>
      <c r="E21" s="6" t="inlineStr">
        <is>
          <t>Leisure activities</t>
        </is>
      </c>
    </row>
    <row r="22">
      <c r="A22" s="6" t="inlineStr">
        <is>
          <t>Shopping</t>
        </is>
      </c>
      <c r="B22" s="7" t="n">
        <v>1500</v>
      </c>
      <c r="C22" s="6" t="inlineStr">
        <is>
          <t>Discretionary</t>
        </is>
      </c>
      <c r="D22" s="6" t="inlineStr">
        <is>
          <t>150%</t>
        </is>
      </c>
      <c r="E22" s="6" t="inlineStr">
        <is>
          <t>Clothing &amp; items</t>
        </is>
      </c>
    </row>
    <row r="23">
      <c r="A23" s="6" t="inlineStr">
        <is>
          <t>Personal Care</t>
        </is>
      </c>
      <c r="B23" s="7" t="n">
        <v>1000</v>
      </c>
      <c r="C23" s="6" t="inlineStr">
        <is>
          <t>Discretionary</t>
        </is>
      </c>
      <c r="D23" s="6" t="inlineStr">
        <is>
          <t>150%</t>
        </is>
      </c>
      <c r="E23" s="6" t="inlineStr">
        <is>
          <t>Grooming &amp; care</t>
        </is>
      </c>
    </row>
    <row r="24">
      <c r="A24" s="6" t="inlineStr">
        <is>
          <t>Insurance</t>
        </is>
      </c>
      <c r="B24" s="7" t="n">
        <v>1500</v>
      </c>
      <c r="C24" s="6" t="inlineStr">
        <is>
          <t>Important</t>
        </is>
      </c>
      <c r="D24" s="6" t="inlineStr">
        <is>
          <t>100%</t>
        </is>
      </c>
      <c r="E24" s="6" t="inlineStr">
        <is>
          <t>Life &amp; health</t>
        </is>
      </c>
    </row>
    <row r="25">
      <c r="A25" s="6" t="inlineStr">
        <is>
          <t>Miscellaneous</t>
        </is>
      </c>
      <c r="B25" s="7" t="n">
        <v>1000</v>
      </c>
      <c r="C25" s="6" t="inlineStr">
        <is>
          <t>Variable</t>
        </is>
      </c>
      <c r="D25" s="6" t="inlineStr">
        <is>
          <t>200%</t>
        </is>
      </c>
      <c r="E25" s="6" t="inlineStr">
        <is>
          <t>Unexpected expenses</t>
        </is>
      </c>
    </row>
    <row r="26">
      <c r="A26" s="16" t="inlineStr">
        <is>
          <t>TOTAL BUDGET</t>
        </is>
      </c>
      <c r="B26" s="17">
        <f>SUM(B14:B25)</f>
        <v/>
      </c>
      <c r="C26" s="16" t="n"/>
      <c r="D26" s="16" t="n"/>
      <c r="E26" s="16" t="n"/>
    </row>
  </sheetData>
  <mergeCells count="3">
    <mergeCell ref="A11:E11"/>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C16" sqref="C16"/>
    </sheetView>
  </sheetViews>
  <sheetFormatPr baseColWidth="8" defaultRowHeight="14.4"/>
  <cols>
    <col width="20" customWidth="1" style="28" min="1" max="1"/>
    <col width="12" customWidth="1" style="28" min="2" max="4"/>
    <col width="10" customWidth="1" style="28" min="5" max="5"/>
    <col width="15" customWidth="1" style="28" min="6" max="7"/>
    <col width="30" customWidth="1" style="28" min="8" max="8"/>
  </cols>
  <sheetData>
    <row r="1" ht="45" customHeight="1" s="28">
      <c r="A1" s="34" t="inlineStr">
        <is>
          <t>BUDGET VS ACTUAL ANALYSIS</t>
        </is>
      </c>
    </row>
    <row r="3" ht="21" customHeight="1" s="28">
      <c r="A3" s="29" t="inlineStr">
        <is>
          <t>INCOME ANALYSIS</t>
        </is>
      </c>
    </row>
    <row r="5">
      <c r="A5" s="12" t="inlineStr">
        <is>
          <t>Income Source</t>
        </is>
      </c>
      <c r="B5" s="12" t="inlineStr">
        <is>
          <t>Budget</t>
        </is>
      </c>
      <c r="C5" s="12" t="inlineStr">
        <is>
          <t>Actual</t>
        </is>
      </c>
      <c r="D5" s="12" t="inlineStr">
        <is>
          <t>Variance</t>
        </is>
      </c>
      <c r="E5" s="12" t="inlineStr">
        <is>
          <t>Status</t>
        </is>
      </c>
    </row>
    <row r="6">
      <c r="A6" s="6" t="inlineStr">
        <is>
          <t>Regular Salary</t>
        </is>
      </c>
      <c r="B6" s="7">
        <f>'Budget Setup'!B6</f>
        <v/>
      </c>
      <c r="C6" s="7">
        <f>SUMIFS('Income Tracking'!E:E,'Income Tracking'!B:B,"Regular Salary",'Income Tracking'!G:G,"Received")</f>
        <v/>
      </c>
      <c r="D6" s="7">
        <f>C6-B6</f>
        <v/>
      </c>
      <c r="E6" s="6">
        <f>IF(C6&gt;=B6,"Received","Pending")</f>
        <v/>
      </c>
    </row>
    <row r="7">
      <c r="A7" s="6" t="inlineStr">
        <is>
          <t>Side Jobs/Freelance</t>
        </is>
      </c>
      <c r="B7" s="7">
        <f>'Budget Setup'!B7</f>
        <v/>
      </c>
      <c r="C7" s="7">
        <f>SUMIFS('Income Tracking'!E:E,'Income Tracking'!B:B,"Side Job",'Income Tracking'!G:G,"Received")+SUMIFS('Income Tracking'!E:E,'Income Tracking'!B:B,"Freelance Work",'Income Tracking'!G:G,"Received")</f>
        <v/>
      </c>
      <c r="D7" s="7">
        <f>C7-B7</f>
        <v/>
      </c>
      <c r="E7" s="6">
        <f>IF(C7&gt;0,"Additional Income","None")</f>
        <v/>
      </c>
    </row>
    <row r="8">
      <c r="A8" s="6" t="inlineStr">
        <is>
          <t>Other Income</t>
        </is>
      </c>
      <c r="B8" s="7">
        <f>'Budget Setup'!B8</f>
        <v/>
      </c>
      <c r="C8" s="7">
        <f>'Income Tracking'!L5-C6-C7</f>
        <v/>
      </c>
      <c r="D8" s="7">
        <f>C8-B8</f>
        <v/>
      </c>
      <c r="E8" s="6">
        <f>IF(C8&gt;0,"Extra Income","None")</f>
        <v/>
      </c>
    </row>
    <row r="9">
      <c r="A9" s="18" t="inlineStr">
        <is>
          <t>TOTAL INCOME</t>
        </is>
      </c>
      <c r="B9" s="19">
        <f>SUM(B6:B8)</f>
        <v/>
      </c>
      <c r="C9" s="19">
        <f>SUM(C6:C8)</f>
        <v/>
      </c>
      <c r="D9" s="19">
        <f>C9-B9</f>
        <v/>
      </c>
      <c r="E9" s="18">
        <f>IF(C9&gt;=B9,"On Target","Below Target")</f>
        <v/>
      </c>
    </row>
    <row r="11" ht="21" customHeight="1" s="28">
      <c r="A11" s="35" t="inlineStr">
        <is>
          <t>EXPENSE ANALYSIS</t>
        </is>
      </c>
    </row>
    <row r="13">
      <c r="A13" s="13" t="inlineStr">
        <is>
          <t>Category</t>
        </is>
      </c>
      <c r="B13" s="13" t="inlineStr">
        <is>
          <t>Budget</t>
        </is>
      </c>
      <c r="C13" s="13" t="inlineStr">
        <is>
          <t>Actual</t>
        </is>
      </c>
      <c r="D13" s="13" t="inlineStr">
        <is>
          <t>Remaining</t>
        </is>
      </c>
      <c r="E13" s="13" t="inlineStr">
        <is>
          <t>Usage %</t>
        </is>
      </c>
      <c r="F13" s="13" t="inlineStr">
        <is>
          <t>Status</t>
        </is>
      </c>
      <c r="G13" s="13" t="inlineStr">
        <is>
          <t>Priority</t>
        </is>
      </c>
      <c r="H13" s="13" t="inlineStr">
        <is>
          <t>Alert</t>
        </is>
      </c>
    </row>
    <row r="14">
      <c r="A14" s="6" t="inlineStr">
        <is>
          <t>Rent &amp; Utilities</t>
        </is>
      </c>
      <c r="B14" s="7">
        <f>'Budget Setup'!B14</f>
        <v/>
      </c>
      <c r="C14" s="7">
        <f>SUMIF('Expense Tracking'!B:B,"Rent &amp; Utilities",'Expense Tracking'!E:E)</f>
        <v/>
      </c>
      <c r="D14" s="7">
        <f>B14-C14</f>
        <v/>
      </c>
      <c r="E14" s="20">
        <f>IFERROR(C14/B14*100,0)</f>
        <v/>
      </c>
      <c r="F14" s="6">
        <f>IF(E14&gt;110,"Over Budget",IF(E14&gt;90,"Warning","On Track"))</f>
        <v/>
      </c>
      <c r="G14" s="6" t="inlineStr">
        <is>
          <t>Essential</t>
        </is>
      </c>
      <c r="H14" s="6">
        <f>IF(E14&gt;120,"OVERSPENDING!","")</f>
        <v/>
      </c>
    </row>
    <row r="15">
      <c r="A15" s="6" t="inlineStr">
        <is>
          <t>Food &amp; Groceries</t>
        </is>
      </c>
      <c r="B15" s="7">
        <f>'Budget Setup'!B15</f>
        <v/>
      </c>
      <c r="C15" s="7">
        <f>SUMIF('Expense Tracking'!B:B,"Food &amp; Groceries",'Expense Tracking'!E:E)</f>
        <v/>
      </c>
      <c r="D15" s="7">
        <f>B15-C15</f>
        <v/>
      </c>
      <c r="E15" s="20">
        <f>IFERROR(C15/B15*100,0)</f>
        <v/>
      </c>
      <c r="F15" s="6">
        <f>IF(E15&gt;110,"Over Budget",IF(E15&gt;90,"Warning","On Track"))</f>
        <v/>
      </c>
      <c r="G15" s="6" t="inlineStr">
        <is>
          <t>Essential</t>
        </is>
      </c>
      <c r="H15" s="6">
        <f>IF(E15&gt;120,"OVERSPENDING!","")</f>
        <v/>
      </c>
    </row>
    <row r="16">
      <c r="A16" s="6" t="inlineStr">
        <is>
          <t>Transport</t>
        </is>
      </c>
      <c r="B16" s="7">
        <f>'Budget Setup'!B16</f>
        <v/>
      </c>
      <c r="C16" s="7">
        <f>SUMIF('Expense Tracking'!B:B,"Transport",'Expense Tracking'!E:E)</f>
        <v/>
      </c>
      <c r="D16" s="7">
        <f>B16-C16</f>
        <v/>
      </c>
      <c r="E16" s="20">
        <f>IFERROR(C16/B16*100,0)</f>
        <v/>
      </c>
      <c r="F16" s="6">
        <f>IF(E16&gt;110,"Over Budget",IF(E16&gt;90,"Warning","On Track"))</f>
        <v/>
      </c>
      <c r="G16" s="6" t="inlineStr">
        <is>
          <t>Essential</t>
        </is>
      </c>
      <c r="H16" s="6">
        <f>IF(E16&gt;120,"OVERSPENDING!","")</f>
        <v/>
      </c>
    </row>
    <row r="17">
      <c r="A17" s="14" t="inlineStr">
        <is>
          <t>SACCO Savings</t>
        </is>
      </c>
      <c r="B17" s="7">
        <f>'Budget Setup'!B17</f>
        <v/>
      </c>
      <c r="C17" s="7">
        <f>SUMIF('Expense Tracking'!B:B,"SACCO Savings",'Expense Tracking'!E:E)</f>
        <v/>
      </c>
      <c r="D17" s="7">
        <f>B17-C17</f>
        <v/>
      </c>
      <c r="E17" s="20">
        <f>IFERROR(C17/B17*100,0)</f>
        <v/>
      </c>
      <c r="F17" s="6">
        <f>IF(C17&lt;B17,"BELOW TARGET","On Track")</f>
        <v/>
      </c>
      <c r="G17" s="15" t="inlineStr">
        <is>
          <t>HIGH PRIORITY</t>
        </is>
      </c>
      <c r="H17" s="6">
        <f>IF(C17&lt;B17*0.9,"URGENT: Target not met!","")</f>
        <v/>
      </c>
    </row>
    <row r="18">
      <c r="A18" s="14" t="inlineStr">
        <is>
          <t>Emergency Fund</t>
        </is>
      </c>
      <c r="B18" s="7">
        <f>'Budget Setup'!B18</f>
        <v/>
      </c>
      <c r="C18" s="7">
        <f>SUMIF('Expense Tracking'!B:B,"Emergency Fund",'Expense Tracking'!E:E)</f>
        <v/>
      </c>
      <c r="D18" s="7">
        <f>B18-C18</f>
        <v/>
      </c>
      <c r="E18" s="20">
        <f>IFERROR(C18/B18*100,0)</f>
        <v/>
      </c>
      <c r="F18" s="6">
        <f>IF(C18&lt;B18,"BELOW TARGET","On Track")</f>
        <v/>
      </c>
      <c r="G18" s="15" t="inlineStr">
        <is>
          <t>HIGH PRIORITY</t>
        </is>
      </c>
      <c r="H18" s="6">
        <f>IF(C18&lt;B18*0.9,"URGENT: Target not met!","")</f>
        <v/>
      </c>
    </row>
    <row r="19">
      <c r="A19" s="6" t="inlineStr">
        <is>
          <t>Healthcare</t>
        </is>
      </c>
      <c r="B19" s="7">
        <f>'Budget Setup'!B19</f>
        <v/>
      </c>
      <c r="C19" s="7">
        <f>SUMIF('Expense Tracking'!B:B,"Healthcare",'Expense Tracking'!E:E)</f>
        <v/>
      </c>
      <c r="D19" s="7">
        <f>B19-C19</f>
        <v/>
      </c>
      <c r="E19" s="20">
        <f>IFERROR(C19/B19*100,0)</f>
        <v/>
      </c>
      <c r="F19" s="6">
        <f>IF(E19&gt;110,"Over Budget",IF(E19&gt;90,"Warning","On Track"))</f>
        <v/>
      </c>
      <c r="G19" s="6" t="inlineStr">
        <is>
          <t>Important</t>
        </is>
      </c>
      <c r="H19" s="6">
        <f>IF(E19&gt;120,"OVERSPENDING!","")</f>
        <v/>
      </c>
    </row>
    <row r="20">
      <c r="A20" s="6" t="inlineStr">
        <is>
          <t>Education</t>
        </is>
      </c>
      <c r="B20" s="7">
        <f>'Budget Setup'!B20</f>
        <v/>
      </c>
      <c r="C20" s="7">
        <f>SUMIF('Expense Tracking'!B:B,"Education",'Expense Tracking'!E:E)</f>
        <v/>
      </c>
      <c r="D20" s="7">
        <f>B20-C20</f>
        <v/>
      </c>
      <c r="E20" s="20">
        <f>IFERROR(C20/B20*100,0)</f>
        <v/>
      </c>
      <c r="F20" s="6">
        <f>IF(E20&gt;110,"Over Budget",IF(E20&gt;90,"Warning","On Track"))</f>
        <v/>
      </c>
      <c r="G20" s="6" t="inlineStr">
        <is>
          <t>Important</t>
        </is>
      </c>
      <c r="H20" s="6">
        <f>IF(E20&gt;120,"OVERSPENDING!","")</f>
        <v/>
      </c>
    </row>
    <row r="21">
      <c r="A21" s="6" t="inlineStr">
        <is>
          <t>Entertainment</t>
        </is>
      </c>
      <c r="B21" s="7">
        <f>'Budget Setup'!B21</f>
        <v/>
      </c>
      <c r="C21" s="7">
        <f>SUMIF('Expense Tracking'!B:B,"Entertainment",'Expense Tracking'!E:E)</f>
        <v/>
      </c>
      <c r="D21" s="7">
        <f>B21-C21</f>
        <v/>
      </c>
      <c r="E21" s="20">
        <f>IFERROR(C21/B21*100,0)</f>
        <v/>
      </c>
      <c r="F21" s="6">
        <f>IF(E21&gt;110,"Over Budget",IF(E21&gt;90,"Warning","On Track"))</f>
        <v/>
      </c>
      <c r="G21" s="6" t="inlineStr">
        <is>
          <t>Discretionary</t>
        </is>
      </c>
      <c r="H21" s="6">
        <f>IF(E21&gt;120,"OVERSPENDING!","")</f>
        <v/>
      </c>
    </row>
    <row r="22">
      <c r="A22" s="6" t="inlineStr">
        <is>
          <t>Shopping</t>
        </is>
      </c>
      <c r="B22" s="7">
        <f>'Budget Setup'!B22</f>
        <v/>
      </c>
      <c r="C22" s="7">
        <f>SUMIF('Expense Tracking'!B:B,"Shopping",'Expense Tracking'!E:E)</f>
        <v/>
      </c>
      <c r="D22" s="7">
        <f>B22-C22</f>
        <v/>
      </c>
      <c r="E22" s="20">
        <f>IFERROR(C22/B22*100,0)</f>
        <v/>
      </c>
      <c r="F22" s="6">
        <f>IF(E22&gt;110,"Over Budget",IF(E22&gt;90,"Warning","On Track"))</f>
        <v/>
      </c>
      <c r="G22" s="6" t="inlineStr">
        <is>
          <t>Discretionary</t>
        </is>
      </c>
      <c r="H22" s="6">
        <f>IF(E22&gt;120,"OVERSPENDING!","")</f>
        <v/>
      </c>
    </row>
    <row r="23">
      <c r="A23" s="6" t="inlineStr">
        <is>
          <t>Personal Care</t>
        </is>
      </c>
      <c r="B23" s="7">
        <f>'Budget Setup'!B23</f>
        <v/>
      </c>
      <c r="C23" s="7">
        <f>SUMIF('Expense Tracking'!B:B,"Personal Care",'Expense Tracking'!E:E)</f>
        <v/>
      </c>
      <c r="D23" s="7">
        <f>B23-C23</f>
        <v/>
      </c>
      <c r="E23" s="20">
        <f>IFERROR(C23/B23*100,0)</f>
        <v/>
      </c>
      <c r="F23" s="6">
        <f>IF(E23&gt;110,"Over Budget",IF(E23&gt;90,"Warning","On Track"))</f>
        <v/>
      </c>
      <c r="G23" s="6" t="inlineStr">
        <is>
          <t>Discretionary</t>
        </is>
      </c>
      <c r="H23" s="6">
        <f>IF(E23&gt;120,"OVERSPENDING!","")</f>
        <v/>
      </c>
    </row>
    <row r="24">
      <c r="A24" s="6" t="inlineStr">
        <is>
          <t>Insurance</t>
        </is>
      </c>
      <c r="B24" s="7">
        <f>'Budget Setup'!B24</f>
        <v/>
      </c>
      <c r="C24" s="7">
        <f>SUMIF('Expense Tracking'!B:B,"Insurance",'Expense Tracking'!E:E)</f>
        <v/>
      </c>
      <c r="D24" s="7">
        <f>B24-C24</f>
        <v/>
      </c>
      <c r="E24" s="20">
        <f>IFERROR(C24/B24*100,0)</f>
        <v/>
      </c>
      <c r="F24" s="6">
        <f>IF(E24&gt;110,"Over Budget",IF(E24&gt;90,"Warning","On Track"))</f>
        <v/>
      </c>
      <c r="G24" s="6" t="inlineStr">
        <is>
          <t>Important</t>
        </is>
      </c>
      <c r="H24" s="6">
        <f>IF(E24&gt;120,"OVERSPENDING!","")</f>
        <v/>
      </c>
    </row>
    <row r="25">
      <c r="A25" s="6" t="inlineStr">
        <is>
          <t>Miscellaneous</t>
        </is>
      </c>
      <c r="B25" s="7">
        <f>'Budget Setup'!B25</f>
        <v/>
      </c>
      <c r="C25" s="7">
        <f>SUMIF('Expense Tracking'!B:B,"Miscellaneous",'Expense Tracking'!E:E)</f>
        <v/>
      </c>
      <c r="D25" s="7">
        <f>B25-C25</f>
        <v/>
      </c>
      <c r="E25" s="20">
        <f>IFERROR(C25/B25*100,0)</f>
        <v/>
      </c>
      <c r="F25" s="6">
        <f>IF(E25&gt;110,"Over Budget",IF(E25&gt;90,"Warning","On Track"))</f>
        <v/>
      </c>
      <c r="G25" s="6" t="inlineStr">
        <is>
          <t>Variable</t>
        </is>
      </c>
      <c r="H25" s="6">
        <f>IF(E25&gt;120,"OVERSPENDING!","")</f>
        <v/>
      </c>
    </row>
    <row r="26">
      <c r="A26" s="21" t="inlineStr">
        <is>
          <t>TOTAL EXPENSES</t>
        </is>
      </c>
      <c r="B26" s="21">
        <f>SUM(B14:B25)</f>
        <v/>
      </c>
      <c r="C26" s="21">
        <f>SUM(C14:C25)</f>
        <v/>
      </c>
      <c r="D26" s="21">
        <f>B26-C26</f>
        <v/>
      </c>
      <c r="E26" s="21">
        <f>IFERROR(C26/B26*100,0)</f>
        <v/>
      </c>
      <c r="F26" s="21">
        <f>IF(C26&gt;B26,"Over Budget","Within Budget")</f>
        <v/>
      </c>
      <c r="G26" s="21" t="n"/>
      <c r="H26" s="21" t="n"/>
    </row>
    <row r="28" ht="18" customHeight="1" s="28">
      <c r="A28" s="37" t="inlineStr">
        <is>
          <t>NET BALANCE (Income - Expenses)</t>
        </is>
      </c>
      <c r="C28" s="22">
        <f>C9-C26</f>
        <v/>
      </c>
    </row>
  </sheetData>
  <mergeCells count="4">
    <mergeCell ref="A3:H3"/>
    <mergeCell ref="A11:H11"/>
    <mergeCell ref="A28:B28"/>
    <mergeCell ref="A1:H1"/>
  </mergeCells>
  <conditionalFormatting sqref="E14:E25">
    <cfRule type="cellIs" priority="1" operator="greaterThan" dxfId="2">
      <formula>110</formula>
    </cfRule>
    <cfRule type="cellIs" priority="2" operator="between" dxfId="1">
      <formula>90</formula>
      <formula>110</formula>
    </cfRule>
    <cfRule type="cellIs" priority="3" operator="lessThan" dxfId="0">
      <formula>90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workbookViewId="0">
      <selection activeCell="H22" sqref="H17:H22"/>
    </sheetView>
  </sheetViews>
  <sheetFormatPr baseColWidth="8" defaultRowHeight="14.4"/>
  <cols>
    <col width="20" customWidth="1" style="28" min="1" max="1"/>
    <col width="15" customWidth="1" style="28" min="3" max="3"/>
    <col width="10" customWidth="1" style="28" min="6" max="6"/>
    <col width="20" customWidth="1" style="28" min="8" max="8"/>
    <col width="12" customWidth="1" style="28" min="9" max="10"/>
    <col width="10" customWidth="1" style="28" min="11" max="11"/>
    <col width="15" customWidth="1" style="28" min="12" max="12"/>
  </cols>
  <sheetData>
    <row r="1" ht="49.95" customHeight="1" s="28">
      <c r="A1" s="47" t="inlineStr">
        <is>
          <t>FINANCIAL DASHBOARD &amp; ANALYTICS</t>
        </is>
      </c>
    </row>
    <row r="3" ht="23.4" customHeight="1" s="28">
      <c r="A3" s="41" t="inlineStr">
        <is>
          <t>KEY FINANCIAL METRICS</t>
        </is>
      </c>
      <c r="H3" s="46" t="inlineStr">
        <is>
          <t>CRITICAL ALERTS &amp; WARNINGS</t>
        </is>
      </c>
    </row>
    <row r="5" ht="15.6" customHeight="1" s="28">
      <c r="A5" s="45" t="inlineStr">
        <is>
          <t>Total Income</t>
        </is>
      </c>
      <c r="D5" s="45" t="inlineStr">
        <is>
          <t>Savings Rate</t>
        </is>
      </c>
      <c r="H5" s="3" t="inlineStr">
        <is>
          <t>SACCO Target:</t>
        </is>
      </c>
      <c r="I5" s="40">
        <f>IF('Budget vs Actual'!C17&lt;'Budget vs Actual'!B17,"⚠ WARNING: Below target - KES "&amp;TEXT('Budget vs Actual'!B17-'Budget vs Actual'!C17,"#,##0")&amp;" short","✓ On track")</f>
        <v/>
      </c>
    </row>
    <row r="6" ht="21" customHeight="1" s="28">
      <c r="A6" s="42">
        <f>'Budget vs Actual'!C9</f>
        <v/>
      </c>
      <c r="D6" s="43">
        <f>IFERROR('Budget vs Actual'!C28/'Budget vs Actual'!C9*100,0)</f>
        <v/>
      </c>
      <c r="H6" s="3" t="inlineStr">
        <is>
          <t>Emergency Fund:</t>
        </is>
      </c>
      <c r="I6" s="40">
        <f>IF('Budget vs Actual'!C18&lt;'Budget vs Actual'!B18,"⚠ WARNING: Below target - KES "&amp;TEXT('Budget vs Actual'!B18-'Budget vs Actual'!C18,"#,##0")&amp;" short","✓ On track")</f>
        <v/>
      </c>
    </row>
    <row r="7">
      <c r="A7" s="38" t="inlineStr">
        <is>
          <t>All income sources</t>
        </is>
      </c>
      <c r="D7" s="38" t="inlineStr">
        <is>
          <t>% of income saved</t>
        </is>
      </c>
      <c r="H7" s="3" t="inlineStr">
        <is>
          <t>Budget Status:</t>
        </is>
      </c>
      <c r="I7" s="40">
        <f>IF('Budget vs Actual'!C26&gt;'Budget vs Actual'!B26,"⚠ ALERT: Over budget by KES "&amp;TEXT('Budget vs Actual'!C26-'Budget vs Actual'!B26,"#,##0"),"✓ Within budget")</f>
        <v/>
      </c>
    </row>
    <row r="8">
      <c r="H8" s="3" t="inlineStr">
        <is>
          <t>Overspending:</t>
        </is>
      </c>
      <c r="I8" s="40">
        <f>IF(COUNTIF('Budget vs Actual'!E14:E25,"&gt;110")&gt;0,"⚠ Check "&amp;COUNTIF('Budget vs Actual'!E14:E25,"&gt;110")&amp;" categories over 110%","✓ All categories within limits")</f>
        <v/>
      </c>
    </row>
    <row r="9" ht="15.6" customHeight="1" s="28">
      <c r="A9" s="45" t="inlineStr">
        <is>
          <t>Total Expenses</t>
        </is>
      </c>
      <c r="D9" s="45" t="inlineStr">
        <is>
          <t>Budget Usage</t>
        </is>
      </c>
      <c r="H9" s="3" t="inlineStr">
        <is>
          <t>Net Position:</t>
        </is>
      </c>
      <c r="I9" s="40">
        <f>IF('Budget vs Actual'!C28&lt;0,"⚠ DEFICIT: Expenses exceed income","✓ Positive cash flow")</f>
        <v/>
      </c>
    </row>
    <row r="10" ht="21" customHeight="1" s="28">
      <c r="A10" s="48">
        <f>'Budget vs Actual'!C26</f>
        <v/>
      </c>
      <c r="D10" s="39">
        <f>'Budget vs Actual'!E26</f>
        <v/>
      </c>
    </row>
    <row r="11">
      <c r="A11" s="38" t="inlineStr">
        <is>
          <t>All expenses</t>
        </is>
      </c>
      <c r="D11" s="38" t="inlineStr">
        <is>
          <t>% of budget used</t>
        </is>
      </c>
    </row>
    <row r="13" ht="15.6" customHeight="1" s="28">
      <c r="A13" s="45" t="inlineStr">
        <is>
          <t>Net Savings</t>
        </is>
      </c>
      <c r="D13" s="45" t="inlineStr">
        <is>
          <t>SACCO Savings</t>
        </is>
      </c>
    </row>
    <row r="14" ht="18" customHeight="1" s="28">
      <c r="A14" s="44" t="inlineStr">
        <is>
          <t>INCOME BREAKDOWN</t>
        </is>
      </c>
      <c r="H14" s="49" t="inlineStr">
        <is>
          <t>TOP EXPENSE CATEGORIES</t>
        </is>
      </c>
    </row>
    <row r="15">
      <c r="A15" s="38" t="inlineStr">
        <is>
          <t>Income - Expenses</t>
        </is>
      </c>
      <c r="D15" s="38" t="inlineStr">
        <is>
          <t>Monthly contribution</t>
        </is>
      </c>
    </row>
    <row r="16">
      <c r="A16" s="9" t="inlineStr">
        <is>
          <t>Source</t>
        </is>
      </c>
      <c r="B16" s="9" t="inlineStr">
        <is>
          <t>Budget</t>
        </is>
      </c>
      <c r="C16" s="9" t="inlineStr">
        <is>
          <t>Actual</t>
        </is>
      </c>
      <c r="D16" s="9" t="inlineStr">
        <is>
          <t>Status</t>
        </is>
      </c>
      <c r="H16" s="23" t="inlineStr">
        <is>
          <t>Category</t>
        </is>
      </c>
      <c r="I16" s="23" t="inlineStr">
        <is>
          <t>Budget</t>
        </is>
      </c>
      <c r="J16" s="23" t="inlineStr">
        <is>
          <t>Actual</t>
        </is>
      </c>
      <c r="K16" s="23" t="inlineStr">
        <is>
          <t>Usage %</t>
        </is>
      </c>
      <c r="L16" s="23" t="inlineStr">
        <is>
          <t>Status</t>
        </is>
      </c>
    </row>
    <row r="17">
      <c r="A17">
        <f>'Budget vs Actual'!A6</f>
        <v/>
      </c>
      <c r="B17" s="30">
        <f>'Budget vs Actual'!B6</f>
        <v/>
      </c>
      <c r="C17" s="30">
        <f>'Budget vs Actual'!C6</f>
        <v/>
      </c>
      <c r="D17">
        <f>'Budget vs Actual'!E6</f>
        <v/>
      </c>
      <c r="H17">
        <f>'Budget vs Actual'!A14</f>
        <v/>
      </c>
      <c r="I17" s="30">
        <f>'Budget vs Actual'!B14</f>
        <v/>
      </c>
      <c r="J17" s="30">
        <f>'Budget vs Actual'!C14</f>
        <v/>
      </c>
      <c r="K17" s="10">
        <f>'Budget vs Actual'!E14</f>
        <v/>
      </c>
      <c r="L17">
        <f>'Budget vs Actual'!F14</f>
        <v/>
      </c>
    </row>
    <row r="18">
      <c r="A18">
        <f>'Budget vs Actual'!A7</f>
        <v/>
      </c>
      <c r="B18" s="30">
        <f>'Budget vs Actual'!B7</f>
        <v/>
      </c>
      <c r="C18" s="30">
        <f>'Budget vs Actual'!C7</f>
        <v/>
      </c>
      <c r="D18">
        <f>'Budget vs Actual'!E7</f>
        <v/>
      </c>
      <c r="H18">
        <f>'Budget vs Actual'!A15</f>
        <v/>
      </c>
      <c r="I18" s="30">
        <f>'Budget vs Actual'!B15</f>
        <v/>
      </c>
      <c r="J18" s="30">
        <f>'Budget vs Actual'!C15</f>
        <v/>
      </c>
      <c r="K18" s="10">
        <f>'Budget vs Actual'!E15</f>
        <v/>
      </c>
      <c r="L18">
        <f>'Budget vs Actual'!F15</f>
        <v/>
      </c>
    </row>
    <row r="19">
      <c r="A19">
        <f>'Budget vs Actual'!A8</f>
        <v/>
      </c>
      <c r="B19" s="30">
        <f>'Budget vs Actual'!B8</f>
        <v/>
      </c>
      <c r="C19" s="30">
        <f>'Budget vs Actual'!C8</f>
        <v/>
      </c>
      <c r="D19">
        <f>'Budget vs Actual'!E8</f>
        <v/>
      </c>
      <c r="H19">
        <f>'Budget vs Actual'!A16</f>
        <v/>
      </c>
      <c r="I19" s="30">
        <f>'Budget vs Actual'!B16</f>
        <v/>
      </c>
      <c r="J19" s="30">
        <f>'Budget vs Actual'!C16</f>
        <v/>
      </c>
      <c r="K19" s="10">
        <f>'Budget vs Actual'!E16</f>
        <v/>
      </c>
      <c r="L19">
        <f>'Budget vs Actual'!F16</f>
        <v/>
      </c>
    </row>
    <row r="20">
      <c r="H20">
        <f>'Budget vs Actual'!A17</f>
        <v/>
      </c>
      <c r="I20" s="30">
        <f>'Budget vs Actual'!B17</f>
        <v/>
      </c>
      <c r="J20" s="30">
        <f>'Budget vs Actual'!C17</f>
        <v/>
      </c>
      <c r="K20" s="10">
        <f>'Budget vs Actual'!E17</f>
        <v/>
      </c>
      <c r="L20">
        <f>'Budget vs Actual'!F17</f>
        <v/>
      </c>
    </row>
    <row r="21">
      <c r="H21">
        <f>'Budget vs Actual'!A18</f>
        <v/>
      </c>
      <c r="I21" s="30">
        <f>'Budget vs Actual'!B18</f>
        <v/>
      </c>
      <c r="J21" s="30">
        <f>'Budget vs Actual'!C18</f>
        <v/>
      </c>
      <c r="K21" s="10">
        <f>'Budget vs Actual'!E18</f>
        <v/>
      </c>
      <c r="L21">
        <f>'Budget vs Actual'!F18</f>
        <v/>
      </c>
    </row>
    <row r="22">
      <c r="H22">
        <f>'Budget vs Actual'!A19</f>
        <v/>
      </c>
      <c r="I22" s="30">
        <f>'Budget vs Actual'!B19</f>
        <v/>
      </c>
      <c r="J22" s="30">
        <f>'Budget vs Actual'!C19</f>
        <v/>
      </c>
      <c r="K22" s="10">
        <f>'Budget vs Actual'!E19</f>
        <v/>
      </c>
      <c r="L22">
        <f>'Budget vs Actual'!F19</f>
        <v/>
      </c>
    </row>
    <row r="42">
      <c r="A42" s="64" t="inlineStr">
        <is>
          <t>EXPENSE CATEGORY ANALYZER</t>
        </is>
      </c>
    </row>
    <row r="44">
      <c r="A44" s="65" t="inlineStr">
        <is>
          <t>Select Category</t>
        </is>
      </c>
      <c r="B44" s="65" t="inlineStr">
        <is>
          <t>Amount Spent</t>
        </is>
      </c>
      <c r="C44" s="65" t="inlineStr">
        <is>
          <t>% of Total</t>
        </is>
      </c>
      <c r="D44" s="65" t="inlineStr">
        <is>
          <t>Budget</t>
        </is>
      </c>
      <c r="E44" s="65" t="inlineStr">
        <is>
          <t>Remaining</t>
        </is>
      </c>
      <c r="F44" s="65" t="inlineStr">
        <is>
          <t>Status</t>
        </is>
      </c>
    </row>
    <row r="45">
      <c r="A45" s="66" t="inlineStr"/>
      <c r="B45" s="67">
        <f>IF(A45="","",SUMIF('Expense Tracking'!B:B,A45,'Expense Tracking'!E:E))</f>
        <v/>
      </c>
      <c r="C45" s="68">
        <f>IF(A45="","",IFERROR(B45/'Budget vs Actual'!C26*100,0))</f>
        <v/>
      </c>
      <c r="D45" s="67">
        <f>IF(A45="","",IFERROR(VLOOKUP(A45,'Budget Setup'!A14:B25,2,FALSE),0))</f>
        <v/>
      </c>
      <c r="E45" s="67">
        <f>IF(A45="","",D45-B45)</f>
        <v/>
      </c>
      <c r="F45" s="66">
        <f>IF(A45="","",IF(B45&gt;D45,"Over Budget",IF(B45&gt;D45*0.9,"Warning","On Track")))</f>
        <v/>
      </c>
    </row>
    <row r="46">
      <c r="A46" s="66" t="inlineStr"/>
      <c r="B46" s="67">
        <f>IF(A46="","",SUMIF('Expense Tracking'!B:B,A46,'Expense Tracking'!E:E))</f>
        <v/>
      </c>
      <c r="C46" s="68">
        <f>IF(A46="","",IFERROR(B46/'Budget vs Actual'!C26*100,0))</f>
        <v/>
      </c>
      <c r="D46" s="67">
        <f>IF(A46="","",IFERROR(VLOOKUP(A46,'Budget Setup'!A14:B25,2,FALSE),0))</f>
        <v/>
      </c>
      <c r="E46" s="67">
        <f>IF(A46="","",D46-B46)</f>
        <v/>
      </c>
      <c r="F46" s="66">
        <f>IF(A46="","",IF(B46&gt;D46,"Over Budget",IF(B46&gt;D46*0.9,"Warning","On Track")))</f>
        <v/>
      </c>
    </row>
    <row r="47">
      <c r="A47" s="66" t="inlineStr"/>
      <c r="B47" s="67">
        <f>IF(A47="","",SUMIF('Expense Tracking'!B:B,A47,'Expense Tracking'!E:E))</f>
        <v/>
      </c>
      <c r="C47" s="68">
        <f>IF(A47="","",IFERROR(B47/'Budget vs Actual'!C26*100,0))</f>
        <v/>
      </c>
      <c r="D47" s="67">
        <f>IF(A47="","",IFERROR(VLOOKUP(A47,'Budget Setup'!A14:B25,2,FALSE),0))</f>
        <v/>
      </c>
      <c r="E47" s="67">
        <f>IF(A47="","",D47-B47)</f>
        <v/>
      </c>
      <c r="F47" s="66">
        <f>IF(A47="","",IF(B47&gt;D47,"Over Budget",IF(B47&gt;D47*0.9,"Warning","On Track")))</f>
        <v/>
      </c>
    </row>
    <row r="48">
      <c r="A48" s="66" t="inlineStr"/>
      <c r="B48" s="67">
        <f>IF(A48="","",SUMIF('Expense Tracking'!B:B,A48,'Expense Tracking'!E:E))</f>
        <v/>
      </c>
      <c r="C48" s="68">
        <f>IF(A48="","",IFERROR(B48/'Budget vs Actual'!C26*100,0))</f>
        <v/>
      </c>
      <c r="D48" s="67">
        <f>IF(A48="","",IFERROR(VLOOKUP(A48,'Budget Setup'!A14:B25,2,FALSE),0))</f>
        <v/>
      </c>
      <c r="E48" s="67">
        <f>IF(A48="","",D48-B48)</f>
        <v/>
      </c>
      <c r="F48" s="66">
        <f>IF(A48="","",IF(B48&gt;D48,"Over Budget",IF(B48&gt;D48*0.9,"Warning","On Track")))</f>
        <v/>
      </c>
    </row>
    <row r="49">
      <c r="A49" s="66" t="inlineStr"/>
      <c r="B49" s="67">
        <f>IF(A49="","",SUMIF('Expense Tracking'!B:B,A49,'Expense Tracking'!E:E))</f>
        <v/>
      </c>
      <c r="C49" s="68">
        <f>IF(A49="","",IFERROR(B49/'Budget vs Actual'!C26*100,0))</f>
        <v/>
      </c>
      <c r="D49" s="67">
        <f>IF(A49="","",IFERROR(VLOOKUP(A49,'Budget Setup'!A14:B25,2,FALSE),0))</f>
        <v/>
      </c>
      <c r="E49" s="67">
        <f>IF(A49="","",D49-B49)</f>
        <v/>
      </c>
      <c r="F49" s="66">
        <f>IF(A49="","",IF(B49&gt;D49,"Over Budget",IF(B49&gt;D49*0.9,"Warning","On Track")))</f>
        <v/>
      </c>
    </row>
    <row r="50">
      <c r="A50" s="66" t="inlineStr"/>
      <c r="B50" s="67">
        <f>IF(A50="","",SUMIF('Expense Tracking'!B:B,A50,'Expense Tracking'!E:E))</f>
        <v/>
      </c>
      <c r="C50" s="68">
        <f>IF(A50="","",IFERROR(B50/'Budget vs Actual'!C26*100,0))</f>
        <v/>
      </c>
      <c r="D50" s="67">
        <f>IF(A50="","",IFERROR(VLOOKUP(A50,'Budget Setup'!A14:B25,2,FALSE),0))</f>
        <v/>
      </c>
      <c r="E50" s="67">
        <f>IF(A50="","",D50-B50)</f>
        <v/>
      </c>
      <c r="F50" s="66">
        <f>IF(A50="","",IF(B50&gt;D50,"Over Budget",IF(B50&gt;D50*0.9,"Warning","On Track")))</f>
        <v/>
      </c>
    </row>
    <row r="51">
      <c r="A51" s="66" t="inlineStr"/>
      <c r="B51" s="67">
        <f>IF(A51="","",SUMIF('Expense Tracking'!B:B,A51,'Expense Tracking'!E:E))</f>
        <v/>
      </c>
      <c r="C51" s="68">
        <f>IF(A51="","",IFERROR(B51/'Budget vs Actual'!C26*100,0))</f>
        <v/>
      </c>
      <c r="D51" s="67">
        <f>IF(A51="","",IFERROR(VLOOKUP(A51,'Budget Setup'!A14:B25,2,FALSE),0))</f>
        <v/>
      </c>
      <c r="E51" s="67">
        <f>IF(A51="","",D51-B51)</f>
        <v/>
      </c>
      <c r="F51" s="66">
        <f>IF(A51="","",IF(B51&gt;D51,"Over Budget",IF(B51&gt;D51*0.9,"Warning","On Track")))</f>
        <v/>
      </c>
    </row>
    <row r="52">
      <c r="A52" s="66" t="inlineStr"/>
      <c r="B52" s="67">
        <f>IF(A52="","",SUMIF('Expense Tracking'!B:B,A52,'Expense Tracking'!E:E))</f>
        <v/>
      </c>
      <c r="C52" s="68">
        <f>IF(A52="","",IFERROR(B52/'Budget vs Actual'!C26*100,0))</f>
        <v/>
      </c>
      <c r="D52" s="67">
        <f>IF(A52="","",IFERROR(VLOOKUP(A52,'Budget Setup'!A14:B25,2,FALSE),0))</f>
        <v/>
      </c>
      <c r="E52" s="67">
        <f>IF(A52="","",D52-B52)</f>
        <v/>
      </c>
      <c r="F52" s="66">
        <f>IF(A52="","",IF(B52&gt;D52,"Over Budget",IF(B52&gt;D52*0.9,"Warning","On Track")))</f>
        <v/>
      </c>
    </row>
    <row r="54">
      <c r="A54" s="69" t="inlineStr">
        <is>
          <t>Instructions: Select categories from dropdowns above to analyze specific expense categories</t>
        </is>
      </c>
    </row>
  </sheetData>
  <mergeCells count="28">
    <mergeCell ref="A54:F54"/>
    <mergeCell ref="D10:E10"/>
    <mergeCell ref="A15:B15"/>
    <mergeCell ref="I8:L8"/>
    <mergeCell ref="A11:B11"/>
    <mergeCell ref="A3:F3"/>
    <mergeCell ref="A6:B6"/>
    <mergeCell ref="D6:E6"/>
    <mergeCell ref="A42:F42"/>
    <mergeCell ref="A7:B7"/>
    <mergeCell ref="I9:L9"/>
    <mergeCell ref="A14:F14"/>
    <mergeCell ref="D11:E11"/>
    <mergeCell ref="D13:E13"/>
    <mergeCell ref="I6:L6"/>
    <mergeCell ref="D7:E7"/>
    <mergeCell ref="A5:B5"/>
    <mergeCell ref="I7:L7"/>
    <mergeCell ref="D9:E9"/>
    <mergeCell ref="H3:L3"/>
    <mergeCell ref="D15:E15"/>
    <mergeCell ref="A1:L1"/>
    <mergeCell ref="A10:B10"/>
    <mergeCell ref="D5:E5"/>
    <mergeCell ref="A13:B13"/>
    <mergeCell ref="H14:L14"/>
    <mergeCell ref="A9:B9"/>
    <mergeCell ref="I5:L5"/>
  </mergeCells>
  <dataValidations count="1">
    <dataValidation sqref="A45 A46 A47 A48 A49 A50 A51 A52" showDropDown="1" showInputMessage="0" showErrorMessage="0" allowBlank="1" type="list">
      <formula1>"Rent &amp; Utilities,Food &amp; Groceries,Transport,SACCO Savings,Emergency Fund,Healthcare,Education,Entertainment,Shopping,Personal Care,Insurance,Miscellaneous"</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4.4"/>
  <cols>
    <col width="20" customWidth="1" style="28" min="1" max="1"/>
  </cols>
  <sheetData>
    <row r="1" ht="45" customHeight="1" s="28">
      <c r="A1" s="34" t="inlineStr">
        <is>
          <t>MONTHLY TRENDS &amp; ANALYSIS</t>
        </is>
      </c>
    </row>
    <row r="3">
      <c r="A3" s="24" t="inlineStr">
        <is>
          <t>Category</t>
        </is>
      </c>
      <c r="B3" s="24" t="inlineStr">
        <is>
          <t>Jan</t>
        </is>
      </c>
      <c r="C3" s="24" t="inlineStr">
        <is>
          <t>Feb</t>
        </is>
      </c>
      <c r="D3" s="24" t="inlineStr">
        <is>
          <t>Mar</t>
        </is>
      </c>
      <c r="E3" s="24" t="inlineStr">
        <is>
          <t>Apr</t>
        </is>
      </c>
      <c r="F3" s="24" t="inlineStr">
        <is>
          <t>May</t>
        </is>
      </c>
      <c r="G3" s="24" t="inlineStr">
        <is>
          <t>Jun</t>
        </is>
      </c>
      <c r="H3" s="24" t="inlineStr">
        <is>
          <t>Jul</t>
        </is>
      </c>
      <c r="I3" s="24" t="inlineStr">
        <is>
          <t>Aug</t>
        </is>
      </c>
      <c r="J3" s="24" t="inlineStr">
        <is>
          <t>Sep</t>
        </is>
      </c>
      <c r="K3" s="24" t="inlineStr">
        <is>
          <t>Oct</t>
        </is>
      </c>
      <c r="L3" s="24" t="inlineStr">
        <is>
          <t>Nov</t>
        </is>
      </c>
      <c r="M3" s="24" t="inlineStr">
        <is>
          <t>Dec</t>
        </is>
      </c>
      <c r="N3" s="24" t="inlineStr">
        <is>
          <t>Total</t>
        </is>
      </c>
    </row>
    <row r="4">
      <c r="A4" s="25" t="inlineStr">
        <is>
          <t>INCOME</t>
        </is>
      </c>
      <c r="B4" s="7" t="n">
        <v>0</v>
      </c>
      <c r="C4" s="7" t="n">
        <v>0</v>
      </c>
      <c r="D4" s="7" t="n">
        <v>0</v>
      </c>
      <c r="E4" s="7" t="n">
        <v>0</v>
      </c>
      <c r="F4" s="7" t="n">
        <v>0</v>
      </c>
      <c r="G4" s="7" t="n">
        <v>0</v>
      </c>
      <c r="H4" s="7" t="n">
        <v>0</v>
      </c>
      <c r="I4" s="7" t="n">
        <v>0</v>
      </c>
      <c r="J4" s="7" t="n">
        <v>0</v>
      </c>
      <c r="K4" s="7" t="n">
        <v>0</v>
      </c>
      <c r="L4" s="7" t="n">
        <v>0</v>
      </c>
      <c r="M4" s="7" t="n">
        <v>0</v>
      </c>
      <c r="N4" s="7" t="n">
        <v>0</v>
      </c>
    </row>
    <row r="5">
      <c r="A5" s="6" t="inlineStr">
        <is>
          <t>Rent &amp; Utilities</t>
        </is>
      </c>
      <c r="B5" s="7" t="n">
        <v>0</v>
      </c>
      <c r="C5" s="7" t="n">
        <v>0</v>
      </c>
      <c r="D5" s="7" t="n">
        <v>0</v>
      </c>
      <c r="E5" s="7" t="n">
        <v>0</v>
      </c>
      <c r="F5" s="7" t="n">
        <v>0</v>
      </c>
      <c r="G5" s="7" t="n">
        <v>0</v>
      </c>
      <c r="H5" s="7" t="n">
        <v>0</v>
      </c>
      <c r="I5" s="7" t="n">
        <v>0</v>
      </c>
      <c r="J5" s="7" t="n">
        <v>0</v>
      </c>
      <c r="K5" s="7" t="n">
        <v>0</v>
      </c>
      <c r="L5" s="7" t="n">
        <v>0</v>
      </c>
      <c r="M5" s="7" t="n">
        <v>0</v>
      </c>
      <c r="N5" s="7" t="n">
        <v>0</v>
      </c>
    </row>
    <row r="6">
      <c r="A6" s="6" t="inlineStr">
        <is>
          <t>Food &amp; Groceries</t>
        </is>
      </c>
      <c r="B6" s="7" t="n">
        <v>0</v>
      </c>
      <c r="C6" s="7" t="n">
        <v>0</v>
      </c>
      <c r="D6" s="7" t="n">
        <v>0</v>
      </c>
      <c r="E6" s="7" t="n">
        <v>0</v>
      </c>
      <c r="F6" s="7" t="n">
        <v>0</v>
      </c>
      <c r="G6" s="7" t="n">
        <v>0</v>
      </c>
      <c r="H6" s="7" t="n">
        <v>0</v>
      </c>
      <c r="I6" s="7" t="n">
        <v>0</v>
      </c>
      <c r="J6" s="7" t="n">
        <v>0</v>
      </c>
      <c r="K6" s="7" t="n">
        <v>0</v>
      </c>
      <c r="L6" s="7" t="n">
        <v>0</v>
      </c>
      <c r="M6" s="7" t="n">
        <v>0</v>
      </c>
      <c r="N6" s="7" t="n">
        <v>0</v>
      </c>
    </row>
    <row r="7">
      <c r="A7" s="6" t="inlineStr">
        <is>
          <t>Transport</t>
        </is>
      </c>
      <c r="B7" s="7" t="n">
        <v>0</v>
      </c>
      <c r="C7" s="7" t="n">
        <v>0</v>
      </c>
      <c r="D7" s="7" t="n">
        <v>0</v>
      </c>
      <c r="E7" s="7" t="n">
        <v>0</v>
      </c>
      <c r="F7" s="7" t="n">
        <v>0</v>
      </c>
      <c r="G7" s="7" t="n">
        <v>0</v>
      </c>
      <c r="H7" s="7" t="n">
        <v>0</v>
      </c>
      <c r="I7" s="7" t="n">
        <v>0</v>
      </c>
      <c r="J7" s="7" t="n">
        <v>0</v>
      </c>
      <c r="K7" s="7" t="n">
        <v>0</v>
      </c>
      <c r="L7" s="7" t="n">
        <v>0</v>
      </c>
      <c r="M7" s="7" t="n">
        <v>0</v>
      </c>
      <c r="N7" s="7" t="n">
        <v>0</v>
      </c>
    </row>
    <row r="8">
      <c r="A8" s="6" t="inlineStr">
        <is>
          <t>SACCO Savings</t>
        </is>
      </c>
      <c r="B8" s="7" t="n">
        <v>0</v>
      </c>
      <c r="C8" s="7" t="n">
        <v>0</v>
      </c>
      <c r="D8" s="7" t="n">
        <v>0</v>
      </c>
      <c r="E8" s="7" t="n">
        <v>0</v>
      </c>
      <c r="F8" s="7" t="n">
        <v>0</v>
      </c>
      <c r="G8" s="7" t="n">
        <v>0</v>
      </c>
      <c r="H8" s="7" t="n">
        <v>0</v>
      </c>
      <c r="I8" s="7" t="n">
        <v>0</v>
      </c>
      <c r="J8" s="7" t="n">
        <v>0</v>
      </c>
      <c r="K8" s="7" t="n">
        <v>0</v>
      </c>
      <c r="L8" s="7" t="n">
        <v>0</v>
      </c>
      <c r="M8" s="7" t="n">
        <v>0</v>
      </c>
      <c r="N8" s="7" t="n">
        <v>0</v>
      </c>
    </row>
    <row r="9">
      <c r="A9" s="6" t="inlineStr">
        <is>
          <t>Emergency Fund</t>
        </is>
      </c>
      <c r="B9" s="7" t="n">
        <v>0</v>
      </c>
      <c r="C9" s="7" t="n">
        <v>0</v>
      </c>
      <c r="D9" s="7" t="n">
        <v>0</v>
      </c>
      <c r="E9" s="7" t="n">
        <v>0</v>
      </c>
      <c r="F9" s="7" t="n">
        <v>0</v>
      </c>
      <c r="G9" s="7" t="n">
        <v>0</v>
      </c>
      <c r="H9" s="7" t="n">
        <v>0</v>
      </c>
      <c r="I9" s="7" t="n">
        <v>0</v>
      </c>
      <c r="J9" s="7" t="n">
        <v>0</v>
      </c>
      <c r="K9" s="7" t="n">
        <v>0</v>
      </c>
      <c r="L9" s="7" t="n">
        <v>0</v>
      </c>
      <c r="M9" s="7" t="n">
        <v>0</v>
      </c>
      <c r="N9" s="7" t="n">
        <v>0</v>
      </c>
    </row>
    <row r="10">
      <c r="A10" s="6" t="inlineStr">
        <is>
          <t>Healthcare</t>
        </is>
      </c>
      <c r="B10" s="7" t="n">
        <v>0</v>
      </c>
      <c r="C10" s="7" t="n">
        <v>0</v>
      </c>
      <c r="D10" s="7" t="n">
        <v>0</v>
      </c>
      <c r="E10" s="7" t="n">
        <v>0</v>
      </c>
      <c r="F10" s="7" t="n">
        <v>0</v>
      </c>
      <c r="G10" s="7" t="n">
        <v>0</v>
      </c>
      <c r="H10" s="7" t="n">
        <v>0</v>
      </c>
      <c r="I10" s="7" t="n">
        <v>0</v>
      </c>
      <c r="J10" s="7" t="n">
        <v>0</v>
      </c>
      <c r="K10" s="7" t="n">
        <v>0</v>
      </c>
      <c r="L10" s="7" t="n">
        <v>0</v>
      </c>
      <c r="M10" s="7" t="n">
        <v>0</v>
      </c>
      <c r="N10" s="7" t="n">
        <v>0</v>
      </c>
    </row>
    <row r="11">
      <c r="A11" s="6" t="inlineStr">
        <is>
          <t>Education</t>
        </is>
      </c>
      <c r="B11" s="7" t="n">
        <v>0</v>
      </c>
      <c r="C11" s="7" t="n">
        <v>0</v>
      </c>
      <c r="D11" s="7" t="n">
        <v>0</v>
      </c>
      <c r="E11" s="7" t="n">
        <v>0</v>
      </c>
      <c r="F11" s="7" t="n">
        <v>0</v>
      </c>
      <c r="G11" s="7" t="n">
        <v>0</v>
      </c>
      <c r="H11" s="7" t="n">
        <v>0</v>
      </c>
      <c r="I11" s="7" t="n">
        <v>0</v>
      </c>
      <c r="J11" s="7" t="n">
        <v>0</v>
      </c>
      <c r="K11" s="7" t="n">
        <v>0</v>
      </c>
      <c r="L11" s="7" t="n">
        <v>0</v>
      </c>
      <c r="M11" s="7" t="n">
        <v>0</v>
      </c>
      <c r="N11" s="7" t="n">
        <v>0</v>
      </c>
    </row>
    <row r="12">
      <c r="A12" s="6" t="inlineStr">
        <is>
          <t>Entertainment</t>
        </is>
      </c>
      <c r="B12" s="7" t="n">
        <v>0</v>
      </c>
      <c r="C12" s="7" t="n">
        <v>0</v>
      </c>
      <c r="D12" s="7" t="n">
        <v>0</v>
      </c>
      <c r="E12" s="7" t="n">
        <v>0</v>
      </c>
      <c r="F12" s="7" t="n">
        <v>0</v>
      </c>
      <c r="G12" s="7" t="n">
        <v>0</v>
      </c>
      <c r="H12" s="7" t="n">
        <v>0</v>
      </c>
      <c r="I12" s="7" t="n">
        <v>0</v>
      </c>
      <c r="J12" s="7" t="n">
        <v>0</v>
      </c>
      <c r="K12" s="7" t="n">
        <v>0</v>
      </c>
      <c r="L12" s="7" t="n">
        <v>0</v>
      </c>
      <c r="M12" s="7" t="n">
        <v>0</v>
      </c>
      <c r="N12" s="7" t="n">
        <v>0</v>
      </c>
    </row>
    <row r="13">
      <c r="A13" s="6" t="inlineStr">
        <is>
          <t>Shopping</t>
        </is>
      </c>
      <c r="B13" s="7" t="n">
        <v>0</v>
      </c>
      <c r="C13" s="7" t="n">
        <v>0</v>
      </c>
      <c r="D13" s="7" t="n">
        <v>0</v>
      </c>
      <c r="E13" s="7" t="n">
        <v>0</v>
      </c>
      <c r="F13" s="7" t="n">
        <v>0</v>
      </c>
      <c r="G13" s="7" t="n">
        <v>0</v>
      </c>
      <c r="H13" s="7" t="n">
        <v>0</v>
      </c>
      <c r="I13" s="7" t="n">
        <v>0</v>
      </c>
      <c r="J13" s="7" t="n">
        <v>0</v>
      </c>
      <c r="K13" s="7" t="n">
        <v>0</v>
      </c>
      <c r="L13" s="7" t="n">
        <v>0</v>
      </c>
      <c r="M13" s="7" t="n">
        <v>0</v>
      </c>
      <c r="N13" s="7" t="n">
        <v>0</v>
      </c>
    </row>
    <row r="14">
      <c r="A14" s="6" t="inlineStr">
        <is>
          <t>Personal Care</t>
        </is>
      </c>
      <c r="B14" s="7" t="n">
        <v>0</v>
      </c>
      <c r="C14" s="7" t="n">
        <v>0</v>
      </c>
      <c r="D14" s="7" t="n">
        <v>0</v>
      </c>
      <c r="E14" s="7" t="n">
        <v>0</v>
      </c>
      <c r="F14" s="7" t="n">
        <v>0</v>
      </c>
      <c r="G14" s="7" t="n">
        <v>0</v>
      </c>
      <c r="H14" s="7" t="n">
        <v>0</v>
      </c>
      <c r="I14" s="7" t="n">
        <v>0</v>
      </c>
      <c r="J14" s="7" t="n">
        <v>0</v>
      </c>
      <c r="K14" s="7" t="n">
        <v>0</v>
      </c>
      <c r="L14" s="7" t="n">
        <v>0</v>
      </c>
      <c r="M14" s="7" t="n">
        <v>0</v>
      </c>
      <c r="N14" s="7" t="n">
        <v>0</v>
      </c>
    </row>
    <row r="15">
      <c r="A15" s="6" t="inlineStr">
        <is>
          <t>Insurance</t>
        </is>
      </c>
      <c r="B15" s="7" t="n">
        <v>0</v>
      </c>
      <c r="C15" s="7" t="n">
        <v>0</v>
      </c>
      <c r="D15" s="7" t="n">
        <v>0</v>
      </c>
      <c r="E15" s="7" t="n">
        <v>0</v>
      </c>
      <c r="F15" s="7" t="n">
        <v>0</v>
      </c>
      <c r="G15" s="7" t="n">
        <v>0</v>
      </c>
      <c r="H15" s="7" t="n">
        <v>0</v>
      </c>
      <c r="I15" s="7" t="n">
        <v>0</v>
      </c>
      <c r="J15" s="7" t="n">
        <v>0</v>
      </c>
      <c r="K15" s="7" t="n">
        <v>0</v>
      </c>
      <c r="L15" s="7" t="n">
        <v>0</v>
      </c>
      <c r="M15" s="7" t="n">
        <v>0</v>
      </c>
      <c r="N15" s="7" t="n">
        <v>0</v>
      </c>
    </row>
    <row r="16">
      <c r="A16" s="6" t="inlineStr">
        <is>
          <t>Miscellaneous</t>
        </is>
      </c>
      <c r="B16" s="7" t="n">
        <v>0</v>
      </c>
      <c r="C16" s="7" t="n">
        <v>0</v>
      </c>
      <c r="D16" s="7" t="n">
        <v>0</v>
      </c>
      <c r="E16" s="7" t="n">
        <v>0</v>
      </c>
      <c r="F16" s="7" t="n">
        <v>0</v>
      </c>
      <c r="G16" s="7" t="n">
        <v>0</v>
      </c>
      <c r="H16" s="7" t="n">
        <v>0</v>
      </c>
      <c r="I16" s="7" t="n">
        <v>0</v>
      </c>
      <c r="J16" s="7" t="n">
        <v>0</v>
      </c>
      <c r="K16" s="7" t="n">
        <v>0</v>
      </c>
      <c r="L16" s="7" t="n">
        <v>0</v>
      </c>
      <c r="M16" s="7" t="n">
        <v>0</v>
      </c>
      <c r="N16" s="7" t="n">
        <v>0</v>
      </c>
    </row>
    <row r="17">
      <c r="A17" s="26" t="inlineStr">
        <is>
          <t>TOTAL EXPENSES</t>
        </is>
      </c>
      <c r="B17" s="7" t="n">
        <v>0</v>
      </c>
      <c r="C17" s="7" t="n">
        <v>0</v>
      </c>
      <c r="D17" s="7" t="n">
        <v>0</v>
      </c>
      <c r="E17" s="7" t="n">
        <v>0</v>
      </c>
      <c r="F17" s="7" t="n">
        <v>0</v>
      </c>
      <c r="G17" s="7" t="n">
        <v>0</v>
      </c>
      <c r="H17" s="7" t="n">
        <v>0</v>
      </c>
      <c r="I17" s="7" t="n">
        <v>0</v>
      </c>
      <c r="J17" s="7" t="n">
        <v>0</v>
      </c>
      <c r="K17" s="7" t="n">
        <v>0</v>
      </c>
      <c r="L17" s="7" t="n">
        <v>0</v>
      </c>
      <c r="M17" s="7" t="n">
        <v>0</v>
      </c>
      <c r="N17" s="7" t="n">
        <v>0</v>
      </c>
    </row>
    <row r="18">
      <c r="A18" s="14" t="inlineStr">
        <is>
          <t>NET SAVINGS</t>
        </is>
      </c>
      <c r="B18" s="7" t="n">
        <v>0</v>
      </c>
      <c r="C18" s="7" t="n">
        <v>0</v>
      </c>
      <c r="D18" s="7" t="n">
        <v>0</v>
      </c>
      <c r="E18" s="7" t="n">
        <v>0</v>
      </c>
      <c r="F18" s="7" t="n">
        <v>0</v>
      </c>
      <c r="G18" s="7" t="n">
        <v>0</v>
      </c>
      <c r="H18" s="7" t="n">
        <v>0</v>
      </c>
      <c r="I18" s="7" t="n">
        <v>0</v>
      </c>
      <c r="J18" s="7" t="n">
        <v>0</v>
      </c>
      <c r="K18" s="7" t="n">
        <v>0</v>
      </c>
      <c r="L18" s="7" t="n">
        <v>0</v>
      </c>
      <c r="M18" s="7" t="n">
        <v>0</v>
      </c>
      <c r="N18" s="7" t="n">
        <v>0</v>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4.4"/>
  <cols>
    <col width="100" customWidth="1" style="28" min="1" max="1"/>
  </cols>
  <sheetData>
    <row r="1" ht="28.8" customHeight="1" s="28">
      <c r="A1" s="53" t="inlineStr">
        <is>
          <t>COMPLETE USER GUIDE</t>
        </is>
      </c>
    </row>
    <row r="3"/>
    <row r="4" ht="18" customHeight="1" s="28">
      <c r="A4" s="52" t="inlineStr">
        <is>
          <t>📊 QUICK START GUIDE</t>
        </is>
      </c>
    </row>
    <row r="5"/>
    <row r="6" ht="15.6" customHeight="1" s="28">
      <c r="A6" s="51" t="inlineStr">
        <is>
          <t>1. RECORDING INCOME</t>
        </is>
      </c>
    </row>
    <row r="7">
      <c r="A7" s="50" t="inlineStr">
        <is>
          <t xml:space="preserve">   • Go to "Income Tracking" sheet</t>
        </is>
      </c>
    </row>
    <row r="8">
      <c r="A8" s="50" t="inlineStr">
        <is>
          <t xml:space="preserve">   • Select date when income received</t>
        </is>
      </c>
    </row>
    <row r="9">
      <c r="A9" s="50" t="inlineStr">
        <is>
          <t xml:space="preserve">   • Choose Income Source from dropdown (Salary, Side Job, Freelance, etc.)</t>
        </is>
      </c>
    </row>
    <row r="10">
      <c r="A10" s="50" t="inlineStr">
        <is>
          <t xml:space="preserve">   • Select Category (Monthly, One-time, Project-based)</t>
        </is>
      </c>
    </row>
    <row r="11">
      <c r="A11" s="50" t="inlineStr">
        <is>
          <t xml:space="preserve">   • Enter amount in KES</t>
        </is>
      </c>
    </row>
    <row r="12">
      <c r="A12" s="50" t="inlineStr">
        <is>
          <t xml:space="preserve">   • Mark Status as "Received" when payment confirmed</t>
        </is>
      </c>
    </row>
    <row r="13">
      <c r="A13" s="50" t="inlineStr">
        <is>
          <t xml:space="preserve">   • Income automatically adds to your available budget</t>
        </is>
      </c>
    </row>
    <row r="14"/>
    <row r="15" ht="15.6" customHeight="1" s="28">
      <c r="A15" s="51" t="inlineStr">
        <is>
          <t>2. RECORDING EXPENSES</t>
        </is>
      </c>
    </row>
    <row r="16">
      <c r="A16" s="50" t="inlineStr">
        <is>
          <t xml:space="preserve">   • Go to "Expense Tracking" sheet</t>
        </is>
      </c>
    </row>
    <row r="17">
      <c r="A17" s="50" t="inlineStr">
        <is>
          <t xml:space="preserve">   • Enter date of expense</t>
        </is>
      </c>
    </row>
    <row r="18">
      <c r="A18" s="50" t="inlineStr">
        <is>
          <t xml:space="preserve">   • Select Category from dropdown</t>
        </is>
      </c>
    </row>
    <row r="19">
      <c r="A19" s="50" t="inlineStr">
        <is>
          <t xml:space="preserve">   • For Internet/Utilities: Choose "Rent &amp; Utilities"</t>
        </is>
      </c>
    </row>
    <row r="20">
      <c r="A20" s="50" t="inlineStr">
        <is>
          <t xml:space="preserve">   • Enter Subcategory for details (Internet, Electricity, etc.)</t>
        </is>
      </c>
    </row>
    <row r="21">
      <c r="A21" s="50" t="inlineStr">
        <is>
          <t xml:space="preserve">   • Enter amount in KES</t>
        </is>
      </c>
    </row>
    <row r="22">
      <c r="A22" s="50" t="inlineStr">
        <is>
          <t xml:space="preserve">   • Set Priority (Essential, Important, Discretionary)</t>
        </is>
      </c>
    </row>
    <row r="23"/>
    <row r="24" ht="15.6" customHeight="1" s="28">
      <c r="A24" s="51" t="inlineStr">
        <is>
          <t>3. SIDE JOBS &amp; FREELANCE INCOME</t>
        </is>
      </c>
    </row>
    <row r="25">
      <c r="A25" s="50" t="inlineStr">
        <is>
          <t xml:space="preserve">   • Income Source: Select "Side Job" or "Freelance Work"</t>
        </is>
      </c>
    </row>
    <row r="26">
      <c r="A26" s="50" t="inlineStr">
        <is>
          <t xml:space="preserve">   • Category: Choose "One-time" or "Project-based"</t>
        </is>
      </c>
    </row>
    <row r="27">
      <c r="A27" s="50" t="inlineStr">
        <is>
          <t xml:space="preserve">   • Description: Brief description of work done</t>
        </is>
      </c>
    </row>
    <row r="28">
      <c r="A28" s="50" t="inlineStr">
        <is>
          <t xml:space="preserve">   • Status: Mark as "Received" when paid</t>
        </is>
      </c>
    </row>
    <row r="29">
      <c r="A29" s="50" t="inlineStr">
        <is>
          <t xml:space="preserve">   • This income automatically increases your available budget</t>
        </is>
      </c>
    </row>
    <row r="30"/>
    <row r="31" ht="15.6" customHeight="1" s="28">
      <c r="A31" s="51" t="inlineStr">
        <is>
          <t>4. BUDGET SETUP</t>
        </is>
      </c>
    </row>
    <row r="32">
      <c r="A32" s="50" t="inlineStr">
        <is>
          <t xml:space="preserve">   • Use "Budget Setup" sheet to configure monthly budgets</t>
        </is>
      </c>
    </row>
    <row r="33">
      <c r="A33" s="50" t="inlineStr">
        <is>
          <t xml:space="preserve">   • Set expected income amounts</t>
        </is>
      </c>
    </row>
    <row r="34">
      <c r="A34" s="50" t="inlineStr">
        <is>
          <t xml:space="preserve">   • Configure expense budgets for each category</t>
        </is>
      </c>
    </row>
    <row r="35">
      <c r="A35" s="50" t="inlineStr">
        <is>
          <t xml:space="preserve">   • HIGH PRIORITY items (SACCO, Emergency Fund) are highlighted</t>
        </is>
      </c>
    </row>
    <row r="36"/>
    <row r="37" ht="15.6" customHeight="1" s="28">
      <c r="A37" s="51" t="inlineStr">
        <is>
          <t>5. MONITORING YOUR BUDGET</t>
        </is>
      </c>
    </row>
    <row r="38">
      <c r="A38" s="50" t="inlineStr">
        <is>
          <t xml:space="preserve">   • Check "Budget vs Actual" sheet for real-time tracking</t>
        </is>
      </c>
    </row>
    <row r="39">
      <c r="A39" s="50" t="inlineStr">
        <is>
          <t xml:space="preserve">   • Green = On track (under 90% of budget)</t>
        </is>
      </c>
    </row>
    <row r="40">
      <c r="A40" s="50" t="inlineStr">
        <is>
          <t xml:space="preserve">   • Yellow = Warning (90-110% of budget)</t>
        </is>
      </c>
    </row>
    <row r="41">
      <c r="A41" s="50" t="inlineStr">
        <is>
          <t xml:space="preserve">   • Red = Over budget (&gt;110%)</t>
        </is>
      </c>
    </row>
    <row r="42">
      <c r="A42" s="50" t="inlineStr">
        <is>
          <t xml:space="preserve">   • URGENT alerts appear for savings below target</t>
        </is>
      </c>
    </row>
    <row r="43"/>
    <row r="44" ht="15.6" customHeight="1" s="28">
      <c r="A44" s="51" t="inlineStr">
        <is>
          <t>6. DASHBOARD OVERVIEW</t>
        </is>
      </c>
    </row>
    <row r="45">
      <c r="A45" s="50" t="inlineStr">
        <is>
          <t xml:space="preserve">   • View key metrics at a glance</t>
        </is>
      </c>
    </row>
    <row r="46">
      <c r="A46" s="50" t="inlineStr">
        <is>
          <t xml:space="preserve">   • Check critical alerts for immediate action items</t>
        </is>
      </c>
    </row>
    <row r="47">
      <c r="A47" s="50" t="inlineStr">
        <is>
          <t xml:space="preserve">   • Visual charts show expense distribution</t>
        </is>
      </c>
    </row>
    <row r="48">
      <c r="A48" s="50" t="inlineStr">
        <is>
          <t xml:space="preserve">   • Monitor savings rate and budget usage</t>
        </is>
      </c>
    </row>
    <row r="49"/>
    <row r="50" ht="15.6" customHeight="1" s="28">
      <c r="A50" s="51" t="inlineStr">
        <is>
          <t>7. PRIORITY SYSTEM</t>
        </is>
      </c>
    </row>
    <row r="51">
      <c r="A51" s="50" t="inlineStr">
        <is>
          <t xml:space="preserve">   • HIGH PRIORITY: SACCO and Emergency Fund - MUST be met first</t>
        </is>
      </c>
    </row>
    <row r="52">
      <c r="A52" s="50" t="inlineStr">
        <is>
          <t xml:space="preserve">   • Essential: Rent, Food, Transport - Basic needs</t>
        </is>
      </c>
    </row>
    <row r="53">
      <c r="A53" s="50" t="inlineStr">
        <is>
          <t xml:space="preserve">   • Important: Healthcare, Education, Insurance</t>
        </is>
      </c>
    </row>
    <row r="54">
      <c r="A54" s="50" t="inlineStr">
        <is>
          <t xml:space="preserve">   • Discretionary: Entertainment, Shopping - Can be reduced if needed</t>
        </is>
      </c>
    </row>
    <row r="55"/>
    <row r="56" ht="15.6" customHeight="1" s="28">
      <c r="A56" s="51" t="inlineStr">
        <is>
          <t>8. TIPS FOR SUCCESS</t>
        </is>
      </c>
    </row>
    <row r="57">
      <c r="A57" s="50" t="inlineStr">
        <is>
          <t xml:space="preserve">   • Enter transactions daily to avoid forgetting</t>
        </is>
      </c>
    </row>
    <row r="58">
      <c r="A58" s="50" t="inlineStr">
        <is>
          <t xml:space="preserve">   • Always prioritize SACCO and Emergency Fund savings</t>
        </is>
      </c>
    </row>
    <row r="59">
      <c r="A59" s="50" t="inlineStr">
        <is>
          <t xml:space="preserve">   • Review Dashboard alerts weekly</t>
        </is>
      </c>
    </row>
    <row r="60">
      <c r="A60" s="50" t="inlineStr">
        <is>
          <t xml:space="preserve">   • Track ALL income including side jobs</t>
        </is>
      </c>
    </row>
    <row r="61">
      <c r="A61" s="50" t="inlineStr">
        <is>
          <t xml:space="preserve">   • Use subcategories for detailed expense tracking</t>
        </is>
      </c>
    </row>
    <row r="62">
      <c r="A62" s="50" t="inlineStr">
        <is>
          <t xml:space="preserve">   • Export monthly reports for record keeping</t>
        </is>
      </c>
    </row>
    <row r="63">
      <c r="A63" s="50" t="inlineStr">
        <is>
          <t xml:space="preserve">   • Adjust discretionary spending if savings targets not met</t>
        </is>
      </c>
    </row>
    <row r="64"/>
    <row r="65" ht="15.6" customHeight="1" s="28">
      <c r="A65" s="51" t="inlineStr">
        <is>
          <t>9. ALERTS &amp; WARNINGS</t>
        </is>
      </c>
    </row>
    <row r="66">
      <c r="A66" s="50" t="inlineStr">
        <is>
          <t xml:space="preserve">   • URGENT: Appears when savings targets not met</t>
        </is>
      </c>
    </row>
    <row r="67">
      <c r="A67" s="50" t="inlineStr">
        <is>
          <t xml:space="preserve">   • WARNING: Shows when approaching budget limits</t>
        </is>
      </c>
    </row>
    <row r="68">
      <c r="A68" s="50" t="inlineStr">
        <is>
          <t xml:space="preserve">   • OVERSPENDING: Indicates categories over budget</t>
        </is>
      </c>
    </row>
    <row r="69">
      <c r="A69" s="50" t="inlineStr">
        <is>
          <t xml:space="preserve">   • Check Dashboard for all critical alerts</t>
        </is>
      </c>
    </row>
    <row r="70"/>
    <row r="71" ht="15.6" customHeight="1" s="28">
      <c r="A71" s="51" t="inlineStr">
        <is>
          <t>10. SUPPORT</t>
        </is>
      </c>
    </row>
    <row r="72">
      <c r="A72" s="50" t="inlineStr">
        <is>
          <t xml:space="preserve">   • All formulas update automatically</t>
        </is>
      </c>
    </row>
    <row r="73">
      <c r="A73" s="50" t="inlineStr">
        <is>
          <t xml:space="preserve">   • Charts refresh with new data</t>
        </is>
      </c>
    </row>
    <row r="74">
      <c r="A74" s="50" t="inlineStr">
        <is>
          <t xml:space="preserve">   • Monthly trends help identify patterns</t>
        </is>
      </c>
    </row>
    <row r="75">
      <c r="A75" s="50" t="inlineStr">
        <is>
          <t xml:space="preserve">   • Use filters to analyze specific periods</t>
        </is>
      </c>
    </row>
  </sheetData>
  <mergeCells count="74">
    <mergeCell ref="A41:F41"/>
    <mergeCell ref="A16:F16"/>
    <mergeCell ref="A54:F54"/>
    <mergeCell ref="A46:F46"/>
    <mergeCell ref="A66:F66"/>
    <mergeCell ref="A75:F75"/>
    <mergeCell ref="A37:F37"/>
    <mergeCell ref="A27:F27"/>
    <mergeCell ref="A74:F74"/>
    <mergeCell ref="A56:F56"/>
    <mergeCell ref="A12:F12"/>
    <mergeCell ref="A18:F18"/>
    <mergeCell ref="A26:F26"/>
    <mergeCell ref="A3:F3"/>
    <mergeCell ref="A21:F21"/>
    <mergeCell ref="A50:F50"/>
    <mergeCell ref="A55:F55"/>
    <mergeCell ref="A57:F57"/>
    <mergeCell ref="A33:F33"/>
    <mergeCell ref="A71:F71"/>
    <mergeCell ref="A47:F47"/>
    <mergeCell ref="A42:F42"/>
    <mergeCell ref="A14:F14"/>
    <mergeCell ref="A5:F5"/>
    <mergeCell ref="A23:F23"/>
    <mergeCell ref="A32:F32"/>
    <mergeCell ref="A8:F8"/>
    <mergeCell ref="A22:F22"/>
    <mergeCell ref="A17:F17"/>
    <mergeCell ref="A35:F35"/>
    <mergeCell ref="A4:F4"/>
    <mergeCell ref="A62:F62"/>
    <mergeCell ref="A20:F20"/>
    <mergeCell ref="A25:F25"/>
    <mergeCell ref="A53:F53"/>
    <mergeCell ref="A72:F72"/>
    <mergeCell ref="A29:F29"/>
    <mergeCell ref="A43:F43"/>
    <mergeCell ref="A38:F38"/>
    <mergeCell ref="A63:F63"/>
    <mergeCell ref="A52:F52"/>
    <mergeCell ref="A10:F10"/>
    <mergeCell ref="A28:F28"/>
    <mergeCell ref="A13:F13"/>
    <mergeCell ref="A19:F19"/>
    <mergeCell ref="A44:F44"/>
    <mergeCell ref="A68:F68"/>
    <mergeCell ref="A9:F9"/>
    <mergeCell ref="A67:F67"/>
    <mergeCell ref="A31:F31"/>
    <mergeCell ref="A58:F58"/>
    <mergeCell ref="A34:F34"/>
    <mergeCell ref="A40:F40"/>
    <mergeCell ref="A48:F48"/>
    <mergeCell ref="A30:F30"/>
    <mergeCell ref="A39:F39"/>
    <mergeCell ref="A15:F15"/>
    <mergeCell ref="A59:F59"/>
    <mergeCell ref="A64:F64"/>
    <mergeCell ref="A24:F24"/>
    <mergeCell ref="A73:F73"/>
    <mergeCell ref="A11:F11"/>
    <mergeCell ref="A49:F49"/>
    <mergeCell ref="A51:F51"/>
    <mergeCell ref="A60:F60"/>
    <mergeCell ref="A36:F36"/>
    <mergeCell ref="A45:F45"/>
    <mergeCell ref="A1:F1"/>
    <mergeCell ref="A70:F70"/>
    <mergeCell ref="A61:F61"/>
    <mergeCell ref="A6:F6"/>
    <mergeCell ref="A69:F69"/>
    <mergeCell ref="A7:F7"/>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2025-09-19T11:47:15Z</dcterms:created>
  <dcterms:modified xsi:type="dcterms:W3CDTF">2025-09-19T12:03:23Z</dcterms:modified>
  <cp:lastModifiedBy>Emmanuel Ikinya</cp:lastModifiedBy>
</cp:coreProperties>
</file>